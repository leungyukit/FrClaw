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品测算" sheetId="1" state="visible" r:id="rId1"/>
    <sheet xmlns:r="http://schemas.openxmlformats.org/officeDocument/2006/relationships" name="费率参数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EE5A24"/>
      <sz val="14"/>
    </font>
  </fonts>
  <fills count="5">
    <fill>
      <patternFill/>
    </fill>
    <fill>
      <patternFill patternType="gray125"/>
    </fill>
    <fill>
      <patternFill patternType="solid">
        <fgColor rgb="00EE5A24"/>
      </patternFill>
    </fill>
    <fill>
      <patternFill patternType="solid">
        <fgColor rgb="00FFF3E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0" customWidth="1" min="4" max="4"/>
    <col width="10" customWidth="1" min="5" max="5"/>
    <col width="8" customWidth="1" min="6" max="6"/>
    <col width="10" customWidth="1" min="7" max="7"/>
    <col width="11" customWidth="1" min="8" max="8"/>
    <col width="12" customWidth="1" min="9" max="9"/>
    <col width="11" customWidth="1" min="10" max="10"/>
    <col width="9" customWidth="1" min="11" max="11"/>
    <col width="11" customWidth="1" min="12" max="12"/>
    <col width="10" customWidth="1" min="13" max="13"/>
    <col width="9" customWidth="1" min="14" max="14"/>
    <col width="9" customWidth="1" min="15" max="15"/>
    <col width="10" customWidth="1" min="16" max="16"/>
    <col width="10" customWidth="1" min="17" max="17"/>
    <col width="10" customWidth="1" min="18" max="18"/>
    <col width="9" customWidth="1" min="19" max="19"/>
    <col width="14" customWidth="1" min="20" max="20"/>
    <col width="11" customWidth="1" min="21" max="21"/>
    <col width="22" customWidth="1" min="22" max="22"/>
  </cols>
  <sheetData>
    <row r="1" ht="34" customHeight="1">
      <c r="A1" s="1" t="inlineStr">
        <is>
          <t>序号</t>
        </is>
      </c>
      <c r="B1" s="1" t="inlineStr">
        <is>
          <t>品类</t>
        </is>
      </c>
      <c r="C1" s="1" t="inlineStr">
        <is>
          <t>商品名称/关键词
(中/马来语)</t>
        </is>
      </c>
      <c r="D1" s="1" t="inlineStr">
        <is>
          <t>1688/货源链接</t>
        </is>
      </c>
      <c r="E1" s="1" t="inlineStr">
        <is>
          <t>拿货价
(RMB)</t>
        </is>
      </c>
      <c r="F1" s="1" t="inlineStr">
        <is>
          <t>重量
(g)</t>
        </is>
      </c>
      <c r="G1" s="1" t="inlineStr">
        <is>
          <t>国内杂费
+头程(RMB)</t>
        </is>
      </c>
      <c r="H1" s="1" t="inlineStr">
        <is>
          <t>预估总运费
(RMB)</t>
        </is>
      </c>
      <c r="I1" s="1" t="inlineStr">
        <is>
          <t>买家承担运费
(RM，可改)</t>
        </is>
      </c>
      <c r="J1" s="1" t="inlineStr">
        <is>
          <t>卖家承担运费
(RMB)</t>
        </is>
      </c>
      <c r="K1" s="1" t="inlineStr">
        <is>
          <t>售价
(RM)</t>
        </is>
      </c>
      <c r="L1" s="1" t="inlineStr">
        <is>
          <t>平台佣金+
手续费(RM)</t>
        </is>
      </c>
      <c r="M1" s="1" t="inlineStr">
        <is>
          <t>总成本
(RMB)</t>
        </is>
      </c>
      <c r="N1" s="1" t="inlineStr">
        <is>
          <t>毛利
(RM)</t>
        </is>
      </c>
      <c r="O1" s="1" t="inlineStr">
        <is>
          <t>毛利率</t>
        </is>
      </c>
      <c r="P1" s="1" t="inlineStr">
        <is>
          <t>月搜索量
(参考)</t>
        </is>
      </c>
      <c r="Q1" s="1" t="inlineStr">
        <is>
          <t>TOP20平均
评价数</t>
        </is>
      </c>
      <c r="R1" s="1" t="inlineStr">
        <is>
          <t>TOP20均价
(RM)</t>
        </is>
      </c>
      <c r="S1" s="1" t="inlineStr">
        <is>
          <t>价格优势
(RM)</t>
        </is>
      </c>
      <c r="T1" s="1" t="inlineStr">
        <is>
          <t>测款建议</t>
        </is>
      </c>
      <c r="U1" s="1" t="inlineStr">
        <is>
          <t>状态</t>
        </is>
      </c>
      <c r="V1" s="1" t="inlineStr">
        <is>
          <t>备注</t>
        </is>
      </c>
    </row>
    <row r="2">
      <c r="A2" s="2" t="n">
        <v>1</v>
      </c>
      <c r="B2" s="3" t="inlineStr">
        <is>
          <t>穆斯林服饰</t>
        </is>
      </c>
      <c r="C2" s="4" t="inlineStr">
        <is>
          <t>Tudung Bawal 印花方巾</t>
        </is>
      </c>
      <c r="D2" s="4" t="inlineStr">
        <is>
          <t>（填1688链接）</t>
        </is>
      </c>
      <c r="E2" s="5" t="n">
        <v>3.5</v>
      </c>
      <c r="F2" s="3" t="n">
        <v>35</v>
      </c>
      <c r="G2" s="5" t="n">
        <v>1</v>
      </c>
      <c r="H2" s="6">
        <f>CEILING(F2/10,1)*'费率参数'!$B$5</f>
        <v/>
      </c>
      <c r="I2" s="7">
        <f>'费率参数'!$B$6</f>
        <v/>
      </c>
      <c r="J2" s="6">
        <f>MAX(H2-I2*'费率参数'!$B$2,0)</f>
        <v/>
      </c>
      <c r="K2" s="5" t="n">
        <v>12.9</v>
      </c>
      <c r="L2" s="6">
        <f>K2*('费率参数'!$B$3+'费率参数'!$B$4)</f>
        <v/>
      </c>
      <c r="M2" s="6">
        <f>E2+G2+J2</f>
        <v/>
      </c>
      <c r="N2" s="6">
        <f>K2-L2-M2/'费率参数'!$B$2</f>
        <v/>
      </c>
      <c r="O2" s="8">
        <f>IF(K2=0,"",N2/K2)</f>
        <v/>
      </c>
      <c r="P2" s="3" t="n">
        <v>8000</v>
      </c>
      <c r="Q2" s="3" t="n">
        <v>320</v>
      </c>
      <c r="R2" s="5" t="n">
        <v>15.9</v>
      </c>
      <c r="S2" s="6">
        <f>R2-K2</f>
        <v/>
      </c>
      <c r="T2" s="2">
        <f>IF(K2=0,"待填价",IF(O2&lt;'费率参数'!$B$9,"⚠️ 利润不足",IF(OR(K2&lt;'费率参数'!$B$11,K2&gt;'费率参数'!$B$12),"🔶 价格带不符",IF(Q2&gt;'费率参数'!$B$10,"🔴 竞争激烈","✅ 推荐测款"))))</f>
        <v/>
      </c>
      <c r="U2" s="3" t="inlineStr">
        <is>
          <t>待测评</t>
        </is>
      </c>
      <c r="V2" s="4" t="inlineStr">
        <is>
          <t>花色更新快，多色混批</t>
        </is>
      </c>
    </row>
    <row r="3">
      <c r="A3" s="2" t="n">
        <v>2</v>
      </c>
      <c r="B3" s="3" t="inlineStr">
        <is>
          <t>穆斯林服饰</t>
        </is>
      </c>
      <c r="C3" s="4" t="inlineStr">
        <is>
          <t>Telekung 女士祷告服（简约款）</t>
        </is>
      </c>
      <c r="D3" s="4" t="inlineStr"/>
      <c r="E3" s="5" t="n">
        <v>18</v>
      </c>
      <c r="F3" s="3" t="n">
        <v>350</v>
      </c>
      <c r="G3" s="5" t="n">
        <v>2</v>
      </c>
      <c r="H3" s="6">
        <f>CEILING(F3/10,1)*'费率参数'!$B$5</f>
        <v/>
      </c>
      <c r="I3" s="7">
        <f>'费率参数'!$B$6</f>
        <v/>
      </c>
      <c r="J3" s="6">
        <f>MAX(H3-I3*'费率参数'!$B$2,0)</f>
        <v/>
      </c>
      <c r="K3" s="5" t="n">
        <v>39.9</v>
      </c>
      <c r="L3" s="6">
        <f>K3*('费率参数'!$B$3+'费率参数'!$B$4)</f>
        <v/>
      </c>
      <c r="M3" s="6">
        <f>E3+G3+J3</f>
        <v/>
      </c>
      <c r="N3" s="6">
        <f>K3-L3-M3/'费率参数'!$B$2</f>
        <v/>
      </c>
      <c r="O3" s="8">
        <f>IF(K3=0,"",N3/K3)</f>
        <v/>
      </c>
      <c r="P3" s="3" t="n">
        <v>3500</v>
      </c>
      <c r="Q3" s="3" t="n">
        <v>180</v>
      </c>
      <c r="R3" s="5" t="n">
        <v>49</v>
      </c>
      <c r="S3" s="6">
        <f>R3-K3</f>
        <v/>
      </c>
      <c r="T3" s="2">
        <f>IF(K3=0,"待填价",IF(O3&lt;'费率参数'!$B$9,"⚠️ 利润不足",IF(OR(K3&lt;'费率参数'!$B$11,K3&gt;'费率参数'!$B$12),"🔶 价格带不符",IF(Q3&gt;'费率参数'!$B$10,"🔴 竞争激烈","✅ 推荐测款"))))</f>
        <v/>
      </c>
      <c r="U3" s="3" t="inlineStr">
        <is>
          <t>待测评</t>
        </is>
      </c>
      <c r="V3" s="4" t="inlineStr">
        <is>
          <t>斋月前6-8周上架</t>
        </is>
      </c>
    </row>
    <row r="4">
      <c r="A4" s="2" t="n">
        <v>3</v>
      </c>
      <c r="B4" s="3" t="inlineStr">
        <is>
          <t>家居收纳</t>
        </is>
      </c>
      <c r="C4" s="4" t="inlineStr">
        <is>
          <t>桌面/冰箱折叠收纳盒</t>
        </is>
      </c>
      <c r="D4" s="4" t="inlineStr"/>
      <c r="E4" s="5" t="n">
        <v>8</v>
      </c>
      <c r="F4" s="3" t="n">
        <v>220</v>
      </c>
      <c r="G4" s="5" t="n">
        <v>1.5</v>
      </c>
      <c r="H4" s="6">
        <f>CEILING(F4/10,1)*'费率参数'!$B$5</f>
        <v/>
      </c>
      <c r="I4" s="7">
        <f>'费率参数'!$B$6</f>
        <v/>
      </c>
      <c r="J4" s="6">
        <f>MAX(H4-I4*'费率参数'!$B$2,0)</f>
        <v/>
      </c>
      <c r="K4" s="5" t="n">
        <v>19.9</v>
      </c>
      <c r="L4" s="6">
        <f>K4*('费率参数'!$B$3+'费率参数'!$B$4)</f>
        <v/>
      </c>
      <c r="M4" s="6">
        <f>E4+G4+J4</f>
        <v/>
      </c>
      <c r="N4" s="6">
        <f>K4-L4-M4/'费率参数'!$B$2</f>
        <v/>
      </c>
      <c r="O4" s="8">
        <f>IF(K4=0,"",N4/K4)</f>
        <v/>
      </c>
      <c r="P4" s="3" t="n">
        <v>5200</v>
      </c>
      <c r="Q4" s="3" t="n">
        <v>460</v>
      </c>
      <c r="R4" s="5" t="n">
        <v>22.9</v>
      </c>
      <c r="S4" s="6">
        <f>R4-K4</f>
        <v/>
      </c>
      <c r="T4" s="2">
        <f>IF(K4=0,"待填价",IF(O4&lt;'费率参数'!$B$9,"⚠️ 利润不足",IF(OR(K4&lt;'费率参数'!$B$11,K4&gt;'费率参数'!$B$12),"🔶 价格带不符",IF(Q4&gt;'费率参数'!$B$10,"🔴 竞争激烈","✅ 推荐测款"))))</f>
        <v/>
      </c>
      <c r="U4" s="3" t="inlineStr">
        <is>
          <t>待测评</t>
        </is>
      </c>
      <c r="V4" s="4" t="inlineStr">
        <is>
          <t>主图展示收纳前后对比</t>
        </is>
      </c>
    </row>
    <row r="5">
      <c r="A5" s="2" t="n">
        <v>4</v>
      </c>
      <c r="B5" s="3" t="inlineStr">
        <is>
          <t>家居厨房</t>
        </is>
      </c>
      <c r="C5" s="4" t="inlineStr">
        <is>
          <t>厨房密封罐 3 件套</t>
        </is>
      </c>
      <c r="D5" s="4" t="inlineStr"/>
      <c r="E5" s="5" t="n">
        <v>6</v>
      </c>
      <c r="F5" s="3" t="n">
        <v>300</v>
      </c>
      <c r="G5" s="5" t="n">
        <v>1.5</v>
      </c>
      <c r="H5" s="6">
        <f>CEILING(F5/10,1)*'费率参数'!$B$5</f>
        <v/>
      </c>
      <c r="I5" s="7">
        <f>'费率参数'!$B$6</f>
        <v/>
      </c>
      <c r="J5" s="6">
        <f>MAX(H5-I5*'费率参数'!$B$2,0)</f>
        <v/>
      </c>
      <c r="K5" s="5" t="n">
        <v>18.9</v>
      </c>
      <c r="L5" s="6">
        <f>K5*('费率参数'!$B$3+'费率参数'!$B$4)</f>
        <v/>
      </c>
      <c r="M5" s="6">
        <f>E5+G5+J5</f>
        <v/>
      </c>
      <c r="N5" s="6">
        <f>K5-L5-M5/'费率参数'!$B$2</f>
        <v/>
      </c>
      <c r="O5" s="8">
        <f>IF(K5=0,"",N5/K5)</f>
        <v/>
      </c>
      <c r="P5" s="3" t="n">
        <v>2900</v>
      </c>
      <c r="Q5" s="3" t="n">
        <v>610</v>
      </c>
      <c r="R5" s="5" t="n">
        <v>19.9</v>
      </c>
      <c r="S5" s="6">
        <f>R5-K5</f>
        <v/>
      </c>
      <c r="T5" s="2">
        <f>IF(K5=0,"待填价",IF(O5&lt;'费率参数'!$B$9,"⚠️ 利润不足",IF(OR(K5&lt;'费率参数'!$B$11,K5&gt;'费率参数'!$B$12),"🔶 价格带不符",IF(Q5&gt;'费率参数'!$B$10,"🔴 竞争激烈","✅ 推荐测款"))))</f>
        <v/>
      </c>
      <c r="U5" s="3" t="inlineStr">
        <is>
          <t>待测评</t>
        </is>
      </c>
      <c r="V5" s="4" t="inlineStr">
        <is>
          <t>注意防碎包装</t>
        </is>
      </c>
    </row>
    <row r="6">
      <c r="A6" s="2" t="n">
        <v>5</v>
      </c>
      <c r="B6" s="3" t="inlineStr">
        <is>
          <t>3C配件</t>
        </is>
      </c>
      <c r="C6" s="4" t="inlineStr">
        <is>
          <t>手机壳（小米/OPPO/vivo 热门机型）</t>
        </is>
      </c>
      <c r="D6" s="4" t="inlineStr"/>
      <c r="E6" s="5" t="n">
        <v>2.8</v>
      </c>
      <c r="F6" s="3" t="n">
        <v>60</v>
      </c>
      <c r="G6" s="5" t="n">
        <v>1</v>
      </c>
      <c r="H6" s="6">
        <f>CEILING(F6/10,1)*'费率参数'!$B$5</f>
        <v/>
      </c>
      <c r="I6" s="7">
        <f>'费率参数'!$B$6</f>
        <v/>
      </c>
      <c r="J6" s="6">
        <f>MAX(H6-I6*'费率参数'!$B$2,0)</f>
        <v/>
      </c>
      <c r="K6" s="5" t="n">
        <v>9.9</v>
      </c>
      <c r="L6" s="6">
        <f>K6*('费率参数'!$B$3+'费率参数'!$B$4)</f>
        <v/>
      </c>
      <c r="M6" s="6">
        <f>E6+G6+J6</f>
        <v/>
      </c>
      <c r="N6" s="6">
        <f>K6-L6-M6/'费率参数'!$B$2</f>
        <v/>
      </c>
      <c r="O6" s="8">
        <f>IF(K6=0,"",N6/K6)</f>
        <v/>
      </c>
      <c r="P6" s="3" t="n">
        <v>12000</v>
      </c>
      <c r="Q6" s="3" t="n">
        <v>2200</v>
      </c>
      <c r="R6" s="5" t="n">
        <v>11.9</v>
      </c>
      <c r="S6" s="6">
        <f>R6-K6</f>
        <v/>
      </c>
      <c r="T6" s="2">
        <f>IF(K6=0,"待填价",IF(O6&lt;'费率参数'!$B$9,"⚠️ 利润不足",IF(OR(K6&lt;'费率参数'!$B$11,K6&gt;'费率参数'!$B$12),"🔶 价格带不符",IF(Q6&gt;'费率参数'!$B$10,"🔴 竞争激烈","✅ 推荐测款"))))</f>
        <v/>
      </c>
      <c r="U6" s="3" t="inlineStr">
        <is>
          <t>待测评</t>
        </is>
      </c>
      <c r="V6" s="4" t="inlineStr">
        <is>
          <t>头部评价多→红海产品，谨慎</t>
        </is>
      </c>
    </row>
    <row r="7">
      <c r="A7" s="2" t="n">
        <v>6</v>
      </c>
      <c r="B7" s="3" t="inlineStr">
        <is>
          <t>美妆工具</t>
        </is>
      </c>
      <c r="C7" s="4" t="inlineStr">
        <is>
          <t>美妆蛋+收纳架套装</t>
        </is>
      </c>
      <c r="D7" s="4" t="inlineStr"/>
      <c r="E7" s="5" t="n">
        <v>3.2</v>
      </c>
      <c r="F7" s="3" t="n">
        <v>40</v>
      </c>
      <c r="G7" s="5" t="n">
        <v>1</v>
      </c>
      <c r="H7" s="6">
        <f>CEILING(F7/10,1)*'费率参数'!$B$5</f>
        <v/>
      </c>
      <c r="I7" s="7">
        <f>'费率参数'!$B$6</f>
        <v/>
      </c>
      <c r="J7" s="6">
        <f>MAX(H7-I7*'费率参数'!$B$2,0)</f>
        <v/>
      </c>
      <c r="K7" s="5" t="n">
        <v>12.9</v>
      </c>
      <c r="L7" s="6">
        <f>K7*('费率参数'!$B$3+'费率参数'!$B$4)</f>
        <v/>
      </c>
      <c r="M7" s="6">
        <f>E7+G7+J7</f>
        <v/>
      </c>
      <c r="N7" s="6">
        <f>K7-L7-M7/'费率参数'!$B$2</f>
        <v/>
      </c>
      <c r="O7" s="8">
        <f>IF(K7=0,"",N7/K7)</f>
        <v/>
      </c>
      <c r="P7" s="3" t="n">
        <v>4400</v>
      </c>
      <c r="Q7" s="3" t="n">
        <v>350</v>
      </c>
      <c r="R7" s="5" t="n">
        <v>14.9</v>
      </c>
      <c r="S7" s="6">
        <f>R7-K7</f>
        <v/>
      </c>
      <c r="T7" s="2">
        <f>IF(K7=0,"待填价",IF(O7&lt;'费率参数'!$B$9,"⚠️ 利润不足",IF(OR(K7&lt;'费率参数'!$B$11,K7&gt;'费率参数'!$B$12),"🔶 价格带不符",IF(Q7&gt;'费率参数'!$B$10,"🔴 竞争激烈","✅ 推荐测款"))))</f>
        <v/>
      </c>
      <c r="U7" s="3" t="inlineStr">
        <is>
          <t>待测评</t>
        </is>
      </c>
      <c r="V7" s="4" t="inlineStr">
        <is>
          <t>避开化妆品成品，只做工具</t>
        </is>
      </c>
    </row>
    <row r="8">
      <c r="A8" s="2" t="n">
        <v>7</v>
      </c>
      <c r="B8" s="3" t="inlineStr">
        <is>
          <t>母婴小件</t>
        </is>
      </c>
      <c r="C8" s="4" t="inlineStr">
        <is>
          <t>婴儿硅胶辅食餐具</t>
        </is>
      </c>
      <c r="D8" s="4" t="inlineStr"/>
      <c r="E8" s="5" t="n">
        <v>5</v>
      </c>
      <c r="F8" s="3" t="n">
        <v>150</v>
      </c>
      <c r="G8" s="5" t="n">
        <v>1.2</v>
      </c>
      <c r="H8" s="6">
        <f>CEILING(F8/10,1)*'费率参数'!$B$5</f>
        <v/>
      </c>
      <c r="I8" s="7">
        <f>'费率参数'!$B$6</f>
        <v/>
      </c>
      <c r="J8" s="6">
        <f>MAX(H8-I8*'费率参数'!$B$2,0)</f>
        <v/>
      </c>
      <c r="K8" s="5" t="n">
        <v>16.9</v>
      </c>
      <c r="L8" s="6">
        <f>K8*('费率参数'!$B$3+'费率参数'!$B$4)</f>
        <v/>
      </c>
      <c r="M8" s="6">
        <f>E8+G8+J8</f>
        <v/>
      </c>
      <c r="N8" s="6">
        <f>K8-L8-M8/'费率参数'!$B$2</f>
        <v/>
      </c>
      <c r="O8" s="8">
        <f>IF(K8=0,"",N8/K8)</f>
        <v/>
      </c>
      <c r="P8" s="3" t="n">
        <v>2100</v>
      </c>
      <c r="Q8" s="3" t="n">
        <v>270</v>
      </c>
      <c r="R8" s="5" t="n">
        <v>21.5</v>
      </c>
      <c r="S8" s="6">
        <f>R8-K8</f>
        <v/>
      </c>
      <c r="T8" s="2">
        <f>IF(K8=0,"待填价",IF(O8&lt;'费率参数'!$B$9,"⚠️ 利润不足",IF(OR(K8&lt;'费率参数'!$B$11,K8&gt;'费率参数'!$B$12),"🔶 价格带不符",IF(Q8&gt;'费率参数'!$B$10,"🔴 竞争激烈","✅ 推荐测款"))))</f>
        <v/>
      </c>
      <c r="U8" s="3" t="inlineStr">
        <is>
          <t>待测评</t>
        </is>
      </c>
      <c r="V8" s="4" t="inlineStr">
        <is>
          <t>认准食品级硅胶资质</t>
        </is>
      </c>
    </row>
    <row r="9">
      <c r="A9" s="2" t="n">
        <v>8</v>
      </c>
      <c r="B9" s="3" t="inlineStr">
        <is>
          <t>女性配饰</t>
        </is>
      </c>
      <c r="C9" s="4" t="inlineStr">
        <is>
          <t>ins 风耳环/发饰多件套装</t>
        </is>
      </c>
      <c r="D9" s="4" t="inlineStr"/>
      <c r="E9" s="5" t="n">
        <v>2.5</v>
      </c>
      <c r="F9" s="3" t="n">
        <v>20</v>
      </c>
      <c r="G9" s="5" t="n">
        <v>0.8</v>
      </c>
      <c r="H9" s="6">
        <f>CEILING(F9/10,1)*'费率参数'!$B$5</f>
        <v/>
      </c>
      <c r="I9" s="7">
        <f>'费率参数'!$B$6</f>
        <v/>
      </c>
      <c r="J9" s="6">
        <f>MAX(H9-I9*'费率参数'!$B$2,0)</f>
        <v/>
      </c>
      <c r="K9" s="5" t="n">
        <v>9.9</v>
      </c>
      <c r="L9" s="6">
        <f>K9*('费率参数'!$B$3+'费率参数'!$B$4)</f>
        <v/>
      </c>
      <c r="M9" s="6">
        <f>E9+G9+J9</f>
        <v/>
      </c>
      <c r="N9" s="6">
        <f>K9-L9-M9/'费率参数'!$B$2</f>
        <v/>
      </c>
      <c r="O9" s="8">
        <f>IF(K9=0,"",N9/K9)</f>
        <v/>
      </c>
      <c r="P9" s="3" t="n">
        <v>6800</v>
      </c>
      <c r="Q9" s="3" t="n">
        <v>410</v>
      </c>
      <c r="R9" s="5" t="n">
        <v>12.9</v>
      </c>
      <c r="S9" s="6">
        <f>R9-K9</f>
        <v/>
      </c>
      <c r="T9" s="2">
        <f>IF(K9=0,"待填价",IF(O9&lt;'费率参数'!$B$9,"⚠️ 利润不足",IF(OR(K9&lt;'费率参数'!$B$11,K9&gt;'费率参数'!$B$12),"🔶 价格带不符",IF(Q9&gt;'费率参数'!$B$10,"🔴 竞争激烈","✅ 推荐测款"))))</f>
        <v/>
      </c>
      <c r="U9" s="3" t="inlineStr">
        <is>
          <t>待测评</t>
        </is>
      </c>
      <c r="V9" s="4" t="inlineStr">
        <is>
          <t>轻小件运费优势大，适合凑单</t>
        </is>
      </c>
    </row>
    <row r="10">
      <c r="A10" s="2">
        <f>IF(C10="","",ROW()-1)</f>
        <v/>
      </c>
      <c r="B10" s="3" t="n"/>
      <c r="C10" s="4" t="n"/>
      <c r="D10" s="4" t="n"/>
      <c r="E10" s="5" t="n"/>
      <c r="F10" s="3" t="n"/>
      <c r="G10" s="5" t="n"/>
      <c r="H10" s="6">
        <f>IF(F10="","",CEILING(F10/10,1)*'费率参数'!$B$5)</f>
        <v/>
      </c>
      <c r="I10" s="7">
        <f>IF(F10="","",'费率参数'!$B$6)</f>
        <v/>
      </c>
      <c r="J10" s="6">
        <f>IF(F10="","",MAX(H10-I10*'费率参数'!$B$2,0))</f>
        <v/>
      </c>
      <c r="K10" s="5" t="n"/>
      <c r="L10" s="6">
        <f>IF(K10="","",K10*('费率参数'!$B$3+'费率参数'!$B$4))</f>
        <v/>
      </c>
      <c r="M10" s="6">
        <f>IF(E10="","",E10+N(G10)+J10)</f>
        <v/>
      </c>
      <c r="N10" s="6">
        <f>IF(OR(K10="",E10=""),"",K10-L10-M10/'费率参数'!$B$2)</f>
        <v/>
      </c>
      <c r="O10" s="8">
        <f>IF(OR(K10="",K10=0),"",N10/K10)</f>
        <v/>
      </c>
      <c r="P10" s="3" t="n"/>
      <c r="Q10" s="3" t="n"/>
      <c r="R10" s="5" t="n"/>
      <c r="S10" s="6">
        <f>IF(OR(R10="",K10=""),"",R10-K10)</f>
        <v/>
      </c>
      <c r="T10" s="2">
        <f>IF(C10="","",IF(K10="","待填价",IF(O10&lt;'费率参数'!$B$9,"⚠️ 利润不足",IF(OR(K10&lt;'费率参数'!$B$11,K10&gt;'费率参数'!$B$12),"🔶 价格带不符",IF(N(Q10)&gt;'费率参数'!$B$10,"🔴 竞争激烈","✅ 推荐测款")))))</f>
        <v/>
      </c>
      <c r="U10" s="3" t="n"/>
      <c r="V10" s="4" t="n"/>
    </row>
    <row r="11">
      <c r="A11" s="2">
        <f>IF(C11="","",ROW()-1)</f>
        <v/>
      </c>
      <c r="B11" s="3" t="n"/>
      <c r="C11" s="4" t="n"/>
      <c r="D11" s="4" t="n"/>
      <c r="E11" s="5" t="n"/>
      <c r="F11" s="3" t="n"/>
      <c r="G11" s="5" t="n"/>
      <c r="H11" s="6">
        <f>IF(F11="","",CEILING(F11/10,1)*'费率参数'!$B$5)</f>
        <v/>
      </c>
      <c r="I11" s="7">
        <f>IF(F11="","",'费率参数'!$B$6)</f>
        <v/>
      </c>
      <c r="J11" s="6">
        <f>IF(F11="","",MAX(H11-I11*'费率参数'!$B$2,0))</f>
        <v/>
      </c>
      <c r="K11" s="5" t="n"/>
      <c r="L11" s="6">
        <f>IF(K11="","",K11*('费率参数'!$B$3+'费率参数'!$B$4))</f>
        <v/>
      </c>
      <c r="M11" s="6">
        <f>IF(E11="","",E11+N(G11)+J11)</f>
        <v/>
      </c>
      <c r="N11" s="6">
        <f>IF(OR(K11="",E11=""),"",K11-L11-M11/'费率参数'!$B$2)</f>
        <v/>
      </c>
      <c r="O11" s="8">
        <f>IF(OR(K11="",K11=0),"",N11/K11)</f>
        <v/>
      </c>
      <c r="P11" s="3" t="n"/>
      <c r="Q11" s="3" t="n"/>
      <c r="R11" s="5" t="n"/>
      <c r="S11" s="6">
        <f>IF(OR(R11="",K11=""),"",R11-K11)</f>
        <v/>
      </c>
      <c r="T11" s="2">
        <f>IF(C11="","",IF(K11="","待填价",IF(O11&lt;'费率参数'!$B$9,"⚠️ 利润不足",IF(OR(K11&lt;'费率参数'!$B$11,K11&gt;'费率参数'!$B$12),"🔶 价格带不符",IF(N(Q11)&gt;'费率参数'!$B$10,"🔴 竞争激烈","✅ 推荐测款")))))</f>
        <v/>
      </c>
      <c r="U11" s="3" t="n"/>
      <c r="V11" s="4" t="n"/>
    </row>
    <row r="12">
      <c r="A12" s="2">
        <f>IF(C12="","",ROW()-1)</f>
        <v/>
      </c>
      <c r="B12" s="3" t="n"/>
      <c r="C12" s="4" t="n"/>
      <c r="D12" s="4" t="n"/>
      <c r="E12" s="5" t="n"/>
      <c r="F12" s="3" t="n"/>
      <c r="G12" s="5" t="n"/>
      <c r="H12" s="6">
        <f>IF(F12="","",CEILING(F12/10,1)*'费率参数'!$B$5)</f>
        <v/>
      </c>
      <c r="I12" s="7">
        <f>IF(F12="","",'费率参数'!$B$6)</f>
        <v/>
      </c>
      <c r="J12" s="6">
        <f>IF(F12="","",MAX(H12-I12*'费率参数'!$B$2,0))</f>
        <v/>
      </c>
      <c r="K12" s="5" t="n"/>
      <c r="L12" s="6">
        <f>IF(K12="","",K12*('费率参数'!$B$3+'费率参数'!$B$4))</f>
        <v/>
      </c>
      <c r="M12" s="6">
        <f>IF(E12="","",E12+N(G12)+J12)</f>
        <v/>
      </c>
      <c r="N12" s="6">
        <f>IF(OR(K12="",E12=""),"",K12-L12-M12/'费率参数'!$B$2)</f>
        <v/>
      </c>
      <c r="O12" s="8">
        <f>IF(OR(K12="",K12=0),"",N12/K12)</f>
        <v/>
      </c>
      <c r="P12" s="3" t="n"/>
      <c r="Q12" s="3" t="n"/>
      <c r="R12" s="5" t="n"/>
      <c r="S12" s="6">
        <f>IF(OR(R12="",K12=""),"",R12-K12)</f>
        <v/>
      </c>
      <c r="T12" s="2">
        <f>IF(C12="","",IF(K12="","待填价",IF(O12&lt;'费率参数'!$B$9,"⚠️ 利润不足",IF(OR(K12&lt;'费率参数'!$B$11,K12&gt;'费率参数'!$B$12),"🔶 价格带不符",IF(N(Q12)&gt;'费率参数'!$B$10,"🔴 竞争激烈","✅ 推荐测款")))))</f>
        <v/>
      </c>
      <c r="U12" s="3" t="n"/>
      <c r="V12" s="4" t="n"/>
    </row>
    <row r="13">
      <c r="A13" s="2">
        <f>IF(C13="","",ROW()-1)</f>
        <v/>
      </c>
      <c r="B13" s="3" t="n"/>
      <c r="C13" s="4" t="n"/>
      <c r="D13" s="4" t="n"/>
      <c r="E13" s="5" t="n"/>
      <c r="F13" s="3" t="n"/>
      <c r="G13" s="5" t="n"/>
      <c r="H13" s="6">
        <f>IF(F13="","",CEILING(F13/10,1)*'费率参数'!$B$5)</f>
        <v/>
      </c>
      <c r="I13" s="7">
        <f>IF(F13="","",'费率参数'!$B$6)</f>
        <v/>
      </c>
      <c r="J13" s="6">
        <f>IF(F13="","",MAX(H13-I13*'费率参数'!$B$2,0))</f>
        <v/>
      </c>
      <c r="K13" s="5" t="n"/>
      <c r="L13" s="6">
        <f>IF(K13="","",K13*('费率参数'!$B$3+'费率参数'!$B$4))</f>
        <v/>
      </c>
      <c r="M13" s="6">
        <f>IF(E13="","",E13+N(G13)+J13)</f>
        <v/>
      </c>
      <c r="N13" s="6">
        <f>IF(OR(K13="",E13=""),"",K13-L13-M13/'费率参数'!$B$2)</f>
        <v/>
      </c>
      <c r="O13" s="8">
        <f>IF(OR(K13="",K13=0),"",N13/K13)</f>
        <v/>
      </c>
      <c r="P13" s="3" t="n"/>
      <c r="Q13" s="3" t="n"/>
      <c r="R13" s="5" t="n"/>
      <c r="S13" s="6">
        <f>IF(OR(R13="",K13=""),"",R13-K13)</f>
        <v/>
      </c>
      <c r="T13" s="2">
        <f>IF(C13="","",IF(K13="","待填价",IF(O13&lt;'费率参数'!$B$9,"⚠️ 利润不足",IF(OR(K13&lt;'费率参数'!$B$11,K13&gt;'费率参数'!$B$12),"🔶 价格带不符",IF(N(Q13)&gt;'费率参数'!$B$10,"🔴 竞争激烈","✅ 推荐测款")))))</f>
        <v/>
      </c>
      <c r="U13" s="3" t="n"/>
      <c r="V13" s="4" t="n"/>
    </row>
    <row r="14">
      <c r="A14" s="2">
        <f>IF(C14="","",ROW()-1)</f>
        <v/>
      </c>
      <c r="B14" s="3" t="n"/>
      <c r="C14" s="4" t="n"/>
      <c r="D14" s="4" t="n"/>
      <c r="E14" s="5" t="n"/>
      <c r="F14" s="3" t="n"/>
      <c r="G14" s="5" t="n"/>
      <c r="H14" s="6">
        <f>IF(F14="","",CEILING(F14/10,1)*'费率参数'!$B$5)</f>
        <v/>
      </c>
      <c r="I14" s="7">
        <f>IF(F14="","",'费率参数'!$B$6)</f>
        <v/>
      </c>
      <c r="J14" s="6">
        <f>IF(F14="","",MAX(H14-I14*'费率参数'!$B$2,0))</f>
        <v/>
      </c>
      <c r="K14" s="5" t="n"/>
      <c r="L14" s="6">
        <f>IF(K14="","",K14*('费率参数'!$B$3+'费率参数'!$B$4))</f>
        <v/>
      </c>
      <c r="M14" s="6">
        <f>IF(E14="","",E14+N(G14)+J14)</f>
        <v/>
      </c>
      <c r="N14" s="6">
        <f>IF(OR(K14="",E14=""),"",K14-L14-M14/'费率参数'!$B$2)</f>
        <v/>
      </c>
      <c r="O14" s="8">
        <f>IF(OR(K14="",K14=0),"",N14/K14)</f>
        <v/>
      </c>
      <c r="P14" s="3" t="n"/>
      <c r="Q14" s="3" t="n"/>
      <c r="R14" s="5" t="n"/>
      <c r="S14" s="6">
        <f>IF(OR(R14="",K14=""),"",R14-K14)</f>
        <v/>
      </c>
      <c r="T14" s="2">
        <f>IF(C14="","",IF(K14="","待填价",IF(O14&lt;'费率参数'!$B$9,"⚠️ 利润不足",IF(OR(K14&lt;'费率参数'!$B$11,K14&gt;'费率参数'!$B$12),"🔶 价格带不符",IF(N(Q14)&gt;'费率参数'!$B$10,"🔴 竞争激烈","✅ 推荐测款")))))</f>
        <v/>
      </c>
      <c r="U14" s="3" t="n"/>
      <c r="V14" s="4" t="n"/>
    </row>
    <row r="15">
      <c r="A15" s="2">
        <f>IF(C15="","",ROW()-1)</f>
        <v/>
      </c>
      <c r="B15" s="3" t="n"/>
      <c r="C15" s="4" t="n"/>
      <c r="D15" s="4" t="n"/>
      <c r="E15" s="5" t="n"/>
      <c r="F15" s="3" t="n"/>
      <c r="G15" s="5" t="n"/>
      <c r="H15" s="6">
        <f>IF(F15="","",CEILING(F15/10,1)*'费率参数'!$B$5)</f>
        <v/>
      </c>
      <c r="I15" s="7">
        <f>IF(F15="","",'费率参数'!$B$6)</f>
        <v/>
      </c>
      <c r="J15" s="6">
        <f>IF(F15="","",MAX(H15-I15*'费率参数'!$B$2,0))</f>
        <v/>
      </c>
      <c r="K15" s="5" t="n"/>
      <c r="L15" s="6">
        <f>IF(K15="","",K15*('费率参数'!$B$3+'费率参数'!$B$4))</f>
        <v/>
      </c>
      <c r="M15" s="6">
        <f>IF(E15="","",E15+N(G15)+J15)</f>
        <v/>
      </c>
      <c r="N15" s="6">
        <f>IF(OR(K15="",E15=""),"",K15-L15-M15/'费率参数'!$B$2)</f>
        <v/>
      </c>
      <c r="O15" s="8">
        <f>IF(OR(K15="",K15=0),"",N15/K15)</f>
        <v/>
      </c>
      <c r="P15" s="3" t="n"/>
      <c r="Q15" s="3" t="n"/>
      <c r="R15" s="5" t="n"/>
      <c r="S15" s="6">
        <f>IF(OR(R15="",K15=""),"",R15-K15)</f>
        <v/>
      </c>
      <c r="T15" s="2">
        <f>IF(C15="","",IF(K15="","待填价",IF(O15&lt;'费率参数'!$B$9,"⚠️ 利润不足",IF(OR(K15&lt;'费率参数'!$B$11,K15&gt;'费率参数'!$B$12),"🔶 价格带不符",IF(N(Q15)&gt;'费率参数'!$B$10,"🔴 竞争激烈","✅ 推荐测款")))))</f>
        <v/>
      </c>
      <c r="U15" s="3" t="n"/>
      <c r="V15" s="4" t="n"/>
    </row>
    <row r="16">
      <c r="A16" s="2">
        <f>IF(C16="","",ROW()-1)</f>
        <v/>
      </c>
      <c r="B16" s="3" t="n"/>
      <c r="C16" s="4" t="n"/>
      <c r="D16" s="4" t="n"/>
      <c r="E16" s="5" t="n"/>
      <c r="F16" s="3" t="n"/>
      <c r="G16" s="5" t="n"/>
      <c r="H16" s="6">
        <f>IF(F16="","",CEILING(F16/10,1)*'费率参数'!$B$5)</f>
        <v/>
      </c>
      <c r="I16" s="7">
        <f>IF(F16="","",'费率参数'!$B$6)</f>
        <v/>
      </c>
      <c r="J16" s="6">
        <f>IF(F16="","",MAX(H16-I16*'费率参数'!$B$2,0))</f>
        <v/>
      </c>
      <c r="K16" s="5" t="n"/>
      <c r="L16" s="6">
        <f>IF(K16="","",K16*('费率参数'!$B$3+'费率参数'!$B$4))</f>
        <v/>
      </c>
      <c r="M16" s="6">
        <f>IF(E16="","",E16+N(G16)+J16)</f>
        <v/>
      </c>
      <c r="N16" s="6">
        <f>IF(OR(K16="",E16=""),"",K16-L16-M16/'费率参数'!$B$2)</f>
        <v/>
      </c>
      <c r="O16" s="8">
        <f>IF(OR(K16="",K16=0),"",N16/K16)</f>
        <v/>
      </c>
      <c r="P16" s="3" t="n"/>
      <c r="Q16" s="3" t="n"/>
      <c r="R16" s="5" t="n"/>
      <c r="S16" s="6">
        <f>IF(OR(R16="",K16=""),"",R16-K16)</f>
        <v/>
      </c>
      <c r="T16" s="2">
        <f>IF(C16="","",IF(K16="","待填价",IF(O16&lt;'费率参数'!$B$9,"⚠️ 利润不足",IF(OR(K16&lt;'费率参数'!$B$11,K16&gt;'费率参数'!$B$12),"🔶 价格带不符",IF(N(Q16)&gt;'费率参数'!$B$10,"🔴 竞争激烈","✅ 推荐测款")))))</f>
        <v/>
      </c>
      <c r="U16" s="3" t="n"/>
      <c r="V16" s="4" t="n"/>
    </row>
    <row r="17">
      <c r="A17" s="2">
        <f>IF(C17="","",ROW()-1)</f>
        <v/>
      </c>
      <c r="B17" s="3" t="n"/>
      <c r="C17" s="4" t="n"/>
      <c r="D17" s="4" t="n"/>
      <c r="E17" s="5" t="n"/>
      <c r="F17" s="3" t="n"/>
      <c r="G17" s="5" t="n"/>
      <c r="H17" s="6">
        <f>IF(F17="","",CEILING(F17/10,1)*'费率参数'!$B$5)</f>
        <v/>
      </c>
      <c r="I17" s="7">
        <f>IF(F17="","",'费率参数'!$B$6)</f>
        <v/>
      </c>
      <c r="J17" s="6">
        <f>IF(F17="","",MAX(H17-I17*'费率参数'!$B$2,0))</f>
        <v/>
      </c>
      <c r="K17" s="5" t="n"/>
      <c r="L17" s="6">
        <f>IF(K17="","",K17*('费率参数'!$B$3+'费率参数'!$B$4))</f>
        <v/>
      </c>
      <c r="M17" s="6">
        <f>IF(E17="","",E17+N(G17)+J17)</f>
        <v/>
      </c>
      <c r="N17" s="6">
        <f>IF(OR(K17="",E17=""),"",K17-L17-M17/'费率参数'!$B$2)</f>
        <v/>
      </c>
      <c r="O17" s="8">
        <f>IF(OR(K17="",K17=0),"",N17/K17)</f>
        <v/>
      </c>
      <c r="P17" s="3" t="n"/>
      <c r="Q17" s="3" t="n"/>
      <c r="R17" s="5" t="n"/>
      <c r="S17" s="6">
        <f>IF(OR(R17="",K17=""),"",R17-K17)</f>
        <v/>
      </c>
      <c r="T17" s="2">
        <f>IF(C17="","",IF(K17="","待填价",IF(O17&lt;'费率参数'!$B$9,"⚠️ 利润不足",IF(OR(K17&lt;'费率参数'!$B$11,K17&gt;'费率参数'!$B$12),"🔶 价格带不符",IF(N(Q17)&gt;'费率参数'!$B$10,"🔴 竞争激烈","✅ 推荐测款")))))</f>
        <v/>
      </c>
      <c r="U17" s="3" t="n"/>
      <c r="V17" s="4" t="n"/>
    </row>
    <row r="18">
      <c r="A18" s="2">
        <f>IF(C18="","",ROW()-1)</f>
        <v/>
      </c>
      <c r="B18" s="3" t="n"/>
      <c r="C18" s="4" t="n"/>
      <c r="D18" s="4" t="n"/>
      <c r="E18" s="5" t="n"/>
      <c r="F18" s="3" t="n"/>
      <c r="G18" s="5" t="n"/>
      <c r="H18" s="6">
        <f>IF(F18="","",CEILING(F18/10,1)*'费率参数'!$B$5)</f>
        <v/>
      </c>
      <c r="I18" s="7">
        <f>IF(F18="","",'费率参数'!$B$6)</f>
        <v/>
      </c>
      <c r="J18" s="6">
        <f>IF(F18="","",MAX(H18-I18*'费率参数'!$B$2,0))</f>
        <v/>
      </c>
      <c r="K18" s="5" t="n"/>
      <c r="L18" s="6">
        <f>IF(K18="","",K18*('费率参数'!$B$3+'费率参数'!$B$4))</f>
        <v/>
      </c>
      <c r="M18" s="6">
        <f>IF(E18="","",E18+N(G18)+J18)</f>
        <v/>
      </c>
      <c r="N18" s="6">
        <f>IF(OR(K18="",E18=""),"",K18-L18-M18/'费率参数'!$B$2)</f>
        <v/>
      </c>
      <c r="O18" s="8">
        <f>IF(OR(K18="",K18=0),"",N18/K18)</f>
        <v/>
      </c>
      <c r="P18" s="3" t="n"/>
      <c r="Q18" s="3" t="n"/>
      <c r="R18" s="5" t="n"/>
      <c r="S18" s="6">
        <f>IF(OR(R18="",K18=""),"",R18-K18)</f>
        <v/>
      </c>
      <c r="T18" s="2">
        <f>IF(C18="","",IF(K18="","待填价",IF(O18&lt;'费率参数'!$B$9,"⚠️ 利润不足",IF(OR(K18&lt;'费率参数'!$B$11,K18&gt;'费率参数'!$B$12),"🔶 价格带不符",IF(N(Q18)&gt;'费率参数'!$B$10,"🔴 竞争激烈","✅ 推荐测款")))))</f>
        <v/>
      </c>
      <c r="U18" s="3" t="n"/>
      <c r="V18" s="4" t="n"/>
    </row>
    <row r="19">
      <c r="A19" s="2">
        <f>IF(C19="","",ROW()-1)</f>
        <v/>
      </c>
      <c r="B19" s="3" t="n"/>
      <c r="C19" s="4" t="n"/>
      <c r="D19" s="4" t="n"/>
      <c r="E19" s="5" t="n"/>
      <c r="F19" s="3" t="n"/>
      <c r="G19" s="5" t="n"/>
      <c r="H19" s="6">
        <f>IF(F19="","",CEILING(F19/10,1)*'费率参数'!$B$5)</f>
        <v/>
      </c>
      <c r="I19" s="7">
        <f>IF(F19="","",'费率参数'!$B$6)</f>
        <v/>
      </c>
      <c r="J19" s="6">
        <f>IF(F19="","",MAX(H19-I19*'费率参数'!$B$2,0))</f>
        <v/>
      </c>
      <c r="K19" s="5" t="n"/>
      <c r="L19" s="6">
        <f>IF(K19="","",K19*('费率参数'!$B$3+'费率参数'!$B$4))</f>
        <v/>
      </c>
      <c r="M19" s="6">
        <f>IF(E19="","",E19+N(G19)+J19)</f>
        <v/>
      </c>
      <c r="N19" s="6">
        <f>IF(OR(K19="",E19=""),"",K19-L19-M19/'费率参数'!$B$2)</f>
        <v/>
      </c>
      <c r="O19" s="8">
        <f>IF(OR(K19="",K19=0),"",N19/K19)</f>
        <v/>
      </c>
      <c r="P19" s="3" t="n"/>
      <c r="Q19" s="3" t="n"/>
      <c r="R19" s="5" t="n"/>
      <c r="S19" s="6">
        <f>IF(OR(R19="",K19=""),"",R19-K19)</f>
        <v/>
      </c>
      <c r="T19" s="2">
        <f>IF(C19="","",IF(K19="","待填价",IF(O19&lt;'费率参数'!$B$9,"⚠️ 利润不足",IF(OR(K19&lt;'费率参数'!$B$11,K19&gt;'费率参数'!$B$12),"🔶 价格带不符",IF(N(Q19)&gt;'费率参数'!$B$10,"🔴 竞争激烈","✅ 推荐测款")))))</f>
        <v/>
      </c>
      <c r="U19" s="3" t="n"/>
      <c r="V19" s="4" t="n"/>
    </row>
    <row r="20">
      <c r="A20" s="2">
        <f>IF(C20="","",ROW()-1)</f>
        <v/>
      </c>
      <c r="B20" s="3" t="n"/>
      <c r="C20" s="4" t="n"/>
      <c r="D20" s="4" t="n"/>
      <c r="E20" s="5" t="n"/>
      <c r="F20" s="3" t="n"/>
      <c r="G20" s="5" t="n"/>
      <c r="H20" s="6">
        <f>IF(F20="","",CEILING(F20/10,1)*'费率参数'!$B$5)</f>
        <v/>
      </c>
      <c r="I20" s="7">
        <f>IF(F20="","",'费率参数'!$B$6)</f>
        <v/>
      </c>
      <c r="J20" s="6">
        <f>IF(F20="","",MAX(H20-I20*'费率参数'!$B$2,0))</f>
        <v/>
      </c>
      <c r="K20" s="5" t="n"/>
      <c r="L20" s="6">
        <f>IF(K20="","",K20*('费率参数'!$B$3+'费率参数'!$B$4))</f>
        <v/>
      </c>
      <c r="M20" s="6">
        <f>IF(E20="","",E20+N(G20)+J20)</f>
        <v/>
      </c>
      <c r="N20" s="6">
        <f>IF(OR(K20="",E20=""),"",K20-L20-M20/'费率参数'!$B$2)</f>
        <v/>
      </c>
      <c r="O20" s="8">
        <f>IF(OR(K20="",K20=0),"",N20/K20)</f>
        <v/>
      </c>
      <c r="P20" s="3" t="n"/>
      <c r="Q20" s="3" t="n"/>
      <c r="R20" s="5" t="n"/>
      <c r="S20" s="6">
        <f>IF(OR(R20="",K20=""),"",R20-K20)</f>
        <v/>
      </c>
      <c r="T20" s="2">
        <f>IF(C20="","",IF(K20="","待填价",IF(O20&lt;'费率参数'!$B$9,"⚠️ 利润不足",IF(OR(K20&lt;'费率参数'!$B$11,K20&gt;'费率参数'!$B$12),"🔶 价格带不符",IF(N(Q20)&gt;'费率参数'!$B$10,"🔴 竞争激烈","✅ 推荐测款")))))</f>
        <v/>
      </c>
      <c r="U20" s="3" t="n"/>
      <c r="V20" s="4" t="n"/>
    </row>
    <row r="21">
      <c r="A21" s="2">
        <f>IF(C21="","",ROW()-1)</f>
        <v/>
      </c>
      <c r="B21" s="3" t="n"/>
      <c r="C21" s="4" t="n"/>
      <c r="D21" s="4" t="n"/>
      <c r="E21" s="5" t="n"/>
      <c r="F21" s="3" t="n"/>
      <c r="G21" s="5" t="n"/>
      <c r="H21" s="6">
        <f>IF(F21="","",CEILING(F21/10,1)*'费率参数'!$B$5)</f>
        <v/>
      </c>
      <c r="I21" s="7">
        <f>IF(F21="","",'费率参数'!$B$6)</f>
        <v/>
      </c>
      <c r="J21" s="6">
        <f>IF(F21="","",MAX(H21-I21*'费率参数'!$B$2,0))</f>
        <v/>
      </c>
      <c r="K21" s="5" t="n"/>
      <c r="L21" s="6">
        <f>IF(K21="","",K21*('费率参数'!$B$3+'费率参数'!$B$4))</f>
        <v/>
      </c>
      <c r="M21" s="6">
        <f>IF(E21="","",E21+N(G21)+J21)</f>
        <v/>
      </c>
      <c r="N21" s="6">
        <f>IF(OR(K21="",E21=""),"",K21-L21-M21/'费率参数'!$B$2)</f>
        <v/>
      </c>
      <c r="O21" s="8">
        <f>IF(OR(K21="",K21=0),"",N21/K21)</f>
        <v/>
      </c>
      <c r="P21" s="3" t="n"/>
      <c r="Q21" s="3" t="n"/>
      <c r="R21" s="5" t="n"/>
      <c r="S21" s="6">
        <f>IF(OR(R21="",K21=""),"",R21-K21)</f>
        <v/>
      </c>
      <c r="T21" s="2">
        <f>IF(C21="","",IF(K21="","待填价",IF(O21&lt;'费率参数'!$B$9,"⚠️ 利润不足",IF(OR(K21&lt;'费率参数'!$B$11,K21&gt;'费率参数'!$B$12),"🔶 价格带不符",IF(N(Q21)&gt;'费率参数'!$B$10,"🔴 竞争激烈","✅ 推荐测款")))))</f>
        <v/>
      </c>
      <c r="U21" s="3" t="n"/>
      <c r="V21" s="4" t="n"/>
    </row>
    <row r="22">
      <c r="A22" s="2">
        <f>IF(C22="","",ROW()-1)</f>
        <v/>
      </c>
      <c r="B22" s="3" t="n"/>
      <c r="C22" s="4" t="n"/>
      <c r="D22" s="4" t="n"/>
      <c r="E22" s="5" t="n"/>
      <c r="F22" s="3" t="n"/>
      <c r="G22" s="5" t="n"/>
      <c r="H22" s="6">
        <f>IF(F22="","",CEILING(F22/10,1)*'费率参数'!$B$5)</f>
        <v/>
      </c>
      <c r="I22" s="7">
        <f>IF(F22="","",'费率参数'!$B$6)</f>
        <v/>
      </c>
      <c r="J22" s="6">
        <f>IF(F22="","",MAX(H22-I22*'费率参数'!$B$2,0))</f>
        <v/>
      </c>
      <c r="K22" s="5" t="n"/>
      <c r="L22" s="6">
        <f>IF(K22="","",K22*('费率参数'!$B$3+'费率参数'!$B$4))</f>
        <v/>
      </c>
      <c r="M22" s="6">
        <f>IF(E22="","",E22+N(G22)+J22)</f>
        <v/>
      </c>
      <c r="N22" s="6">
        <f>IF(OR(K22="",E22=""),"",K22-L22-M22/'费率参数'!$B$2)</f>
        <v/>
      </c>
      <c r="O22" s="8">
        <f>IF(OR(K22="",K22=0),"",N22/K22)</f>
        <v/>
      </c>
      <c r="P22" s="3" t="n"/>
      <c r="Q22" s="3" t="n"/>
      <c r="R22" s="5" t="n"/>
      <c r="S22" s="6">
        <f>IF(OR(R22="",K22=""),"",R22-K22)</f>
        <v/>
      </c>
      <c r="T22" s="2">
        <f>IF(C22="","",IF(K22="","待填价",IF(O22&lt;'费率参数'!$B$9,"⚠️ 利润不足",IF(OR(K22&lt;'费率参数'!$B$11,K22&gt;'费率参数'!$B$12),"🔶 价格带不符",IF(N(Q22)&gt;'费率参数'!$B$10,"🔴 竞争激烈","✅ 推荐测款")))))</f>
        <v/>
      </c>
      <c r="U22" s="3" t="n"/>
      <c r="V22" s="4" t="n"/>
    </row>
    <row r="23">
      <c r="A23" s="2">
        <f>IF(C23="","",ROW()-1)</f>
        <v/>
      </c>
      <c r="B23" s="3" t="n"/>
      <c r="C23" s="4" t="n"/>
      <c r="D23" s="4" t="n"/>
      <c r="E23" s="5" t="n"/>
      <c r="F23" s="3" t="n"/>
      <c r="G23" s="5" t="n"/>
      <c r="H23" s="6">
        <f>IF(F23="","",CEILING(F23/10,1)*'费率参数'!$B$5)</f>
        <v/>
      </c>
      <c r="I23" s="7">
        <f>IF(F23="","",'费率参数'!$B$6)</f>
        <v/>
      </c>
      <c r="J23" s="6">
        <f>IF(F23="","",MAX(H23-I23*'费率参数'!$B$2,0))</f>
        <v/>
      </c>
      <c r="K23" s="5" t="n"/>
      <c r="L23" s="6">
        <f>IF(K23="","",K23*('费率参数'!$B$3+'费率参数'!$B$4))</f>
        <v/>
      </c>
      <c r="M23" s="6">
        <f>IF(E23="","",E23+N(G23)+J23)</f>
        <v/>
      </c>
      <c r="N23" s="6">
        <f>IF(OR(K23="",E23=""),"",K23-L23-M23/'费率参数'!$B$2)</f>
        <v/>
      </c>
      <c r="O23" s="8">
        <f>IF(OR(K23="",K23=0),"",N23/K23)</f>
        <v/>
      </c>
      <c r="P23" s="3" t="n"/>
      <c r="Q23" s="3" t="n"/>
      <c r="R23" s="5" t="n"/>
      <c r="S23" s="6">
        <f>IF(OR(R23="",K23=""),"",R23-K23)</f>
        <v/>
      </c>
      <c r="T23" s="2">
        <f>IF(C23="","",IF(K23="","待填价",IF(O23&lt;'费率参数'!$B$9,"⚠️ 利润不足",IF(OR(K23&lt;'费率参数'!$B$11,K23&gt;'费率参数'!$B$12),"🔶 价格带不符",IF(N(Q23)&gt;'费率参数'!$B$10,"🔴 竞争激烈","✅ 推荐测款")))))</f>
        <v/>
      </c>
      <c r="U23" s="3" t="n"/>
      <c r="V23" s="4" t="n"/>
    </row>
    <row r="24">
      <c r="A24" s="2">
        <f>IF(C24="","",ROW()-1)</f>
        <v/>
      </c>
      <c r="B24" s="3" t="n"/>
      <c r="C24" s="4" t="n"/>
      <c r="D24" s="4" t="n"/>
      <c r="E24" s="5" t="n"/>
      <c r="F24" s="3" t="n"/>
      <c r="G24" s="5" t="n"/>
      <c r="H24" s="6">
        <f>IF(F24="","",CEILING(F24/10,1)*'费率参数'!$B$5)</f>
        <v/>
      </c>
      <c r="I24" s="7">
        <f>IF(F24="","",'费率参数'!$B$6)</f>
        <v/>
      </c>
      <c r="J24" s="6">
        <f>IF(F24="","",MAX(H24-I24*'费率参数'!$B$2,0))</f>
        <v/>
      </c>
      <c r="K24" s="5" t="n"/>
      <c r="L24" s="6">
        <f>IF(K24="","",K24*('费率参数'!$B$3+'费率参数'!$B$4))</f>
        <v/>
      </c>
      <c r="M24" s="6">
        <f>IF(E24="","",E24+N(G24)+J24)</f>
        <v/>
      </c>
      <c r="N24" s="6">
        <f>IF(OR(K24="",E24=""),"",K24-L24-M24/'费率参数'!$B$2)</f>
        <v/>
      </c>
      <c r="O24" s="8">
        <f>IF(OR(K24="",K24=0),"",N24/K24)</f>
        <v/>
      </c>
      <c r="P24" s="3" t="n"/>
      <c r="Q24" s="3" t="n"/>
      <c r="R24" s="5" t="n"/>
      <c r="S24" s="6">
        <f>IF(OR(R24="",K24=""),"",R24-K24)</f>
        <v/>
      </c>
      <c r="T24" s="2">
        <f>IF(C24="","",IF(K24="","待填价",IF(O24&lt;'费率参数'!$B$9,"⚠️ 利润不足",IF(OR(K24&lt;'费率参数'!$B$11,K24&gt;'费率参数'!$B$12),"🔶 价格带不符",IF(N(Q24)&gt;'费率参数'!$B$10,"🔴 竞争激烈","✅ 推荐测款")))))</f>
        <v/>
      </c>
      <c r="U24" s="3" t="n"/>
      <c r="V24" s="4" t="n"/>
    </row>
    <row r="25">
      <c r="A25" s="2">
        <f>IF(C25="","",ROW()-1)</f>
        <v/>
      </c>
      <c r="B25" s="3" t="n"/>
      <c r="C25" s="4" t="n"/>
      <c r="D25" s="4" t="n"/>
      <c r="E25" s="5" t="n"/>
      <c r="F25" s="3" t="n"/>
      <c r="G25" s="5" t="n"/>
      <c r="H25" s="6">
        <f>IF(F25="","",CEILING(F25/10,1)*'费率参数'!$B$5)</f>
        <v/>
      </c>
      <c r="I25" s="7">
        <f>IF(F25="","",'费率参数'!$B$6)</f>
        <v/>
      </c>
      <c r="J25" s="6">
        <f>IF(F25="","",MAX(H25-I25*'费率参数'!$B$2,0))</f>
        <v/>
      </c>
      <c r="K25" s="5" t="n"/>
      <c r="L25" s="6">
        <f>IF(K25="","",K25*('费率参数'!$B$3+'费率参数'!$B$4))</f>
        <v/>
      </c>
      <c r="M25" s="6">
        <f>IF(E25="","",E25+N(G25)+J25)</f>
        <v/>
      </c>
      <c r="N25" s="6">
        <f>IF(OR(K25="",E25=""),"",K25-L25-M25/'费率参数'!$B$2)</f>
        <v/>
      </c>
      <c r="O25" s="8">
        <f>IF(OR(K25="",K25=0),"",N25/K25)</f>
        <v/>
      </c>
      <c r="P25" s="3" t="n"/>
      <c r="Q25" s="3" t="n"/>
      <c r="R25" s="5" t="n"/>
      <c r="S25" s="6">
        <f>IF(OR(R25="",K25=""),"",R25-K25)</f>
        <v/>
      </c>
      <c r="T25" s="2">
        <f>IF(C25="","",IF(K25="","待填价",IF(O25&lt;'费率参数'!$B$9,"⚠️ 利润不足",IF(OR(K25&lt;'费率参数'!$B$11,K25&gt;'费率参数'!$B$12),"🔶 价格带不符",IF(N(Q25)&gt;'费率参数'!$B$10,"🔴 竞争激烈","✅ 推荐测款")))))</f>
        <v/>
      </c>
      <c r="U25" s="3" t="n"/>
      <c r="V25" s="4" t="n"/>
    </row>
    <row r="26">
      <c r="A26" s="2">
        <f>IF(C26="","",ROW()-1)</f>
        <v/>
      </c>
      <c r="B26" s="3" t="n"/>
      <c r="C26" s="4" t="n"/>
      <c r="D26" s="4" t="n"/>
      <c r="E26" s="5" t="n"/>
      <c r="F26" s="3" t="n"/>
      <c r="G26" s="5" t="n"/>
      <c r="H26" s="6">
        <f>IF(F26="","",CEILING(F26/10,1)*'费率参数'!$B$5)</f>
        <v/>
      </c>
      <c r="I26" s="7">
        <f>IF(F26="","",'费率参数'!$B$6)</f>
        <v/>
      </c>
      <c r="J26" s="6">
        <f>IF(F26="","",MAX(H26-I26*'费率参数'!$B$2,0))</f>
        <v/>
      </c>
      <c r="K26" s="5" t="n"/>
      <c r="L26" s="6">
        <f>IF(K26="","",K26*('费率参数'!$B$3+'费率参数'!$B$4))</f>
        <v/>
      </c>
      <c r="M26" s="6">
        <f>IF(E26="","",E26+N(G26)+J26)</f>
        <v/>
      </c>
      <c r="N26" s="6">
        <f>IF(OR(K26="",E26=""),"",K26-L26-M26/'费率参数'!$B$2)</f>
        <v/>
      </c>
      <c r="O26" s="8">
        <f>IF(OR(K26="",K26=0),"",N26/K26)</f>
        <v/>
      </c>
      <c r="P26" s="3" t="n"/>
      <c r="Q26" s="3" t="n"/>
      <c r="R26" s="5" t="n"/>
      <c r="S26" s="6">
        <f>IF(OR(R26="",K26=""),"",R26-K26)</f>
        <v/>
      </c>
      <c r="T26" s="2">
        <f>IF(C26="","",IF(K26="","待填价",IF(O26&lt;'费率参数'!$B$9,"⚠️ 利润不足",IF(OR(K26&lt;'费率参数'!$B$11,K26&gt;'费率参数'!$B$12),"🔶 价格带不符",IF(N(Q26)&gt;'费率参数'!$B$10,"🔴 竞争激烈","✅ 推荐测款")))))</f>
        <v/>
      </c>
      <c r="U26" s="3" t="n"/>
      <c r="V26" s="4" t="n"/>
    </row>
    <row r="27">
      <c r="A27" s="2">
        <f>IF(C27="","",ROW()-1)</f>
        <v/>
      </c>
      <c r="B27" s="3" t="n"/>
      <c r="C27" s="4" t="n"/>
      <c r="D27" s="4" t="n"/>
      <c r="E27" s="5" t="n"/>
      <c r="F27" s="3" t="n"/>
      <c r="G27" s="5" t="n"/>
      <c r="H27" s="6">
        <f>IF(F27="","",CEILING(F27/10,1)*'费率参数'!$B$5)</f>
        <v/>
      </c>
      <c r="I27" s="7">
        <f>IF(F27="","",'费率参数'!$B$6)</f>
        <v/>
      </c>
      <c r="J27" s="6">
        <f>IF(F27="","",MAX(H27-I27*'费率参数'!$B$2,0))</f>
        <v/>
      </c>
      <c r="K27" s="5" t="n"/>
      <c r="L27" s="6">
        <f>IF(K27="","",K27*('费率参数'!$B$3+'费率参数'!$B$4))</f>
        <v/>
      </c>
      <c r="M27" s="6">
        <f>IF(E27="","",E27+N(G27)+J27)</f>
        <v/>
      </c>
      <c r="N27" s="6">
        <f>IF(OR(K27="",E27=""),"",K27-L27-M27/'费率参数'!$B$2)</f>
        <v/>
      </c>
      <c r="O27" s="8">
        <f>IF(OR(K27="",K27=0),"",N27/K27)</f>
        <v/>
      </c>
      <c r="P27" s="3" t="n"/>
      <c r="Q27" s="3" t="n"/>
      <c r="R27" s="5" t="n"/>
      <c r="S27" s="6">
        <f>IF(OR(R27="",K27=""),"",R27-K27)</f>
        <v/>
      </c>
      <c r="T27" s="2">
        <f>IF(C27="","",IF(K27="","待填价",IF(O27&lt;'费率参数'!$B$9,"⚠️ 利润不足",IF(OR(K27&lt;'费率参数'!$B$11,K27&gt;'费率参数'!$B$12),"🔶 价格带不符",IF(N(Q27)&gt;'费率参数'!$B$10,"🔴 竞争激烈","✅ 推荐测款")))))</f>
        <v/>
      </c>
      <c r="U27" s="3" t="n"/>
      <c r="V27" s="4" t="n"/>
    </row>
    <row r="28">
      <c r="A28" s="2">
        <f>IF(C28="","",ROW()-1)</f>
        <v/>
      </c>
      <c r="B28" s="3" t="n"/>
      <c r="C28" s="4" t="n"/>
      <c r="D28" s="4" t="n"/>
      <c r="E28" s="5" t="n"/>
      <c r="F28" s="3" t="n"/>
      <c r="G28" s="5" t="n"/>
      <c r="H28" s="6">
        <f>IF(F28="","",CEILING(F28/10,1)*'费率参数'!$B$5)</f>
        <v/>
      </c>
      <c r="I28" s="7">
        <f>IF(F28="","",'费率参数'!$B$6)</f>
        <v/>
      </c>
      <c r="J28" s="6">
        <f>IF(F28="","",MAX(H28-I28*'费率参数'!$B$2,0))</f>
        <v/>
      </c>
      <c r="K28" s="5" t="n"/>
      <c r="L28" s="6">
        <f>IF(K28="","",K28*('费率参数'!$B$3+'费率参数'!$B$4))</f>
        <v/>
      </c>
      <c r="M28" s="6">
        <f>IF(E28="","",E28+N(G28)+J28)</f>
        <v/>
      </c>
      <c r="N28" s="6">
        <f>IF(OR(K28="",E28=""),"",K28-L28-M28/'费率参数'!$B$2)</f>
        <v/>
      </c>
      <c r="O28" s="8">
        <f>IF(OR(K28="",K28=0),"",N28/K28)</f>
        <v/>
      </c>
      <c r="P28" s="3" t="n"/>
      <c r="Q28" s="3" t="n"/>
      <c r="R28" s="5" t="n"/>
      <c r="S28" s="6">
        <f>IF(OR(R28="",K28=""),"",R28-K28)</f>
        <v/>
      </c>
      <c r="T28" s="2">
        <f>IF(C28="","",IF(K28="","待填价",IF(O28&lt;'费率参数'!$B$9,"⚠️ 利润不足",IF(OR(K28&lt;'费率参数'!$B$11,K28&gt;'费率参数'!$B$12),"🔶 价格带不符",IF(N(Q28)&gt;'费率参数'!$B$10,"🔴 竞争激烈","✅ 推荐测款")))))</f>
        <v/>
      </c>
      <c r="U28" s="3" t="n"/>
      <c r="V28" s="4" t="n"/>
    </row>
    <row r="29">
      <c r="A29" s="2">
        <f>IF(C29="","",ROW()-1)</f>
        <v/>
      </c>
      <c r="B29" s="3" t="n"/>
      <c r="C29" s="4" t="n"/>
      <c r="D29" s="4" t="n"/>
      <c r="E29" s="5" t="n"/>
      <c r="F29" s="3" t="n"/>
      <c r="G29" s="5" t="n"/>
      <c r="H29" s="6">
        <f>IF(F29="","",CEILING(F29/10,1)*'费率参数'!$B$5)</f>
        <v/>
      </c>
      <c r="I29" s="7">
        <f>IF(F29="","",'费率参数'!$B$6)</f>
        <v/>
      </c>
      <c r="J29" s="6">
        <f>IF(F29="","",MAX(H29-I29*'费率参数'!$B$2,0))</f>
        <v/>
      </c>
      <c r="K29" s="5" t="n"/>
      <c r="L29" s="6">
        <f>IF(K29="","",K29*('费率参数'!$B$3+'费率参数'!$B$4))</f>
        <v/>
      </c>
      <c r="M29" s="6">
        <f>IF(E29="","",E29+N(G29)+J29)</f>
        <v/>
      </c>
      <c r="N29" s="6">
        <f>IF(OR(K29="",E29=""),"",K29-L29-M29/'费率参数'!$B$2)</f>
        <v/>
      </c>
      <c r="O29" s="8">
        <f>IF(OR(K29="",K29=0),"",N29/K29)</f>
        <v/>
      </c>
      <c r="P29" s="3" t="n"/>
      <c r="Q29" s="3" t="n"/>
      <c r="R29" s="5" t="n"/>
      <c r="S29" s="6">
        <f>IF(OR(R29="",K29=""),"",R29-K29)</f>
        <v/>
      </c>
      <c r="T29" s="2">
        <f>IF(C29="","",IF(K29="","待填价",IF(O29&lt;'费率参数'!$B$9,"⚠️ 利润不足",IF(OR(K29&lt;'费率参数'!$B$11,K29&gt;'费率参数'!$B$12),"🔶 价格带不符",IF(N(Q29)&gt;'费率参数'!$B$10,"🔴 竞争激烈","✅ 推荐测款")))))</f>
        <v/>
      </c>
      <c r="U29" s="3" t="n"/>
      <c r="V29" s="4" t="n"/>
    </row>
    <row r="30">
      <c r="A30" s="2">
        <f>IF(C30="","",ROW()-1)</f>
        <v/>
      </c>
      <c r="B30" s="3" t="n"/>
      <c r="C30" s="4" t="n"/>
      <c r="D30" s="4" t="n"/>
      <c r="E30" s="5" t="n"/>
      <c r="F30" s="3" t="n"/>
      <c r="G30" s="5" t="n"/>
      <c r="H30" s="6">
        <f>IF(F30="","",CEILING(F30/10,1)*'费率参数'!$B$5)</f>
        <v/>
      </c>
      <c r="I30" s="7">
        <f>IF(F30="","",'费率参数'!$B$6)</f>
        <v/>
      </c>
      <c r="J30" s="6">
        <f>IF(F30="","",MAX(H30-I30*'费率参数'!$B$2,0))</f>
        <v/>
      </c>
      <c r="K30" s="5" t="n"/>
      <c r="L30" s="6">
        <f>IF(K30="","",K30*('费率参数'!$B$3+'费率参数'!$B$4))</f>
        <v/>
      </c>
      <c r="M30" s="6">
        <f>IF(E30="","",E30+N(G30)+J30)</f>
        <v/>
      </c>
      <c r="N30" s="6">
        <f>IF(OR(K30="",E30=""),"",K30-L30-M30/'费率参数'!$B$2)</f>
        <v/>
      </c>
      <c r="O30" s="8">
        <f>IF(OR(K30="",K30=0),"",N30/K30)</f>
        <v/>
      </c>
      <c r="P30" s="3" t="n"/>
      <c r="Q30" s="3" t="n"/>
      <c r="R30" s="5" t="n"/>
      <c r="S30" s="6">
        <f>IF(OR(R30="",K30=""),"",R30-K30)</f>
        <v/>
      </c>
      <c r="T30" s="2">
        <f>IF(C30="","",IF(K30="","待填价",IF(O30&lt;'费率参数'!$B$9,"⚠️ 利润不足",IF(OR(K30&lt;'费率参数'!$B$11,K30&gt;'费率参数'!$B$12),"🔶 价格带不符",IF(N(Q30)&gt;'费率参数'!$B$10,"🔴 竞争激烈","✅ 推荐测款")))))</f>
        <v/>
      </c>
      <c r="U30" s="3" t="n"/>
      <c r="V30" s="4" t="n"/>
    </row>
    <row r="31">
      <c r="A31" s="2">
        <f>IF(C31="","",ROW()-1)</f>
        <v/>
      </c>
      <c r="B31" s="3" t="n"/>
      <c r="C31" s="4" t="n"/>
      <c r="D31" s="4" t="n"/>
      <c r="E31" s="5" t="n"/>
      <c r="F31" s="3" t="n"/>
      <c r="G31" s="5" t="n"/>
      <c r="H31" s="6">
        <f>IF(F31="","",CEILING(F31/10,1)*'费率参数'!$B$5)</f>
        <v/>
      </c>
      <c r="I31" s="7">
        <f>IF(F31="","",'费率参数'!$B$6)</f>
        <v/>
      </c>
      <c r="J31" s="6">
        <f>IF(F31="","",MAX(H31-I31*'费率参数'!$B$2,0))</f>
        <v/>
      </c>
      <c r="K31" s="5" t="n"/>
      <c r="L31" s="6">
        <f>IF(K31="","",K31*('费率参数'!$B$3+'费率参数'!$B$4))</f>
        <v/>
      </c>
      <c r="M31" s="6">
        <f>IF(E31="","",E31+N(G31)+J31)</f>
        <v/>
      </c>
      <c r="N31" s="6">
        <f>IF(OR(K31="",E31=""),"",K31-L31-M31/'费率参数'!$B$2)</f>
        <v/>
      </c>
      <c r="O31" s="8">
        <f>IF(OR(K31="",K31=0),"",N31/K31)</f>
        <v/>
      </c>
      <c r="P31" s="3" t="n"/>
      <c r="Q31" s="3" t="n"/>
      <c r="R31" s="5" t="n"/>
      <c r="S31" s="6">
        <f>IF(OR(R31="",K31=""),"",R31-K31)</f>
        <v/>
      </c>
      <c r="T31" s="2">
        <f>IF(C31="","",IF(K31="","待填价",IF(O31&lt;'费率参数'!$B$9,"⚠️ 利润不足",IF(OR(K31&lt;'费率参数'!$B$11,K31&gt;'费率参数'!$B$12),"🔶 价格带不符",IF(N(Q31)&gt;'费率参数'!$B$10,"🔴 竞争激烈","✅ 推荐测款")))))</f>
        <v/>
      </c>
      <c r="U31" s="3" t="n"/>
      <c r="V31" s="4" t="n"/>
    </row>
    <row r="32">
      <c r="A32" s="2">
        <f>IF(C32="","",ROW()-1)</f>
        <v/>
      </c>
      <c r="B32" s="3" t="n"/>
      <c r="C32" s="4" t="n"/>
      <c r="D32" s="4" t="n"/>
      <c r="E32" s="5" t="n"/>
      <c r="F32" s="3" t="n"/>
      <c r="G32" s="5" t="n"/>
      <c r="H32" s="6">
        <f>IF(F32="","",CEILING(F32/10,1)*'费率参数'!$B$5)</f>
        <v/>
      </c>
      <c r="I32" s="7">
        <f>IF(F32="","",'费率参数'!$B$6)</f>
        <v/>
      </c>
      <c r="J32" s="6">
        <f>IF(F32="","",MAX(H32-I32*'费率参数'!$B$2,0))</f>
        <v/>
      </c>
      <c r="K32" s="5" t="n"/>
      <c r="L32" s="6">
        <f>IF(K32="","",K32*('费率参数'!$B$3+'费率参数'!$B$4))</f>
        <v/>
      </c>
      <c r="M32" s="6">
        <f>IF(E32="","",E32+N(G32)+J32)</f>
        <v/>
      </c>
      <c r="N32" s="6">
        <f>IF(OR(K32="",E32=""),"",K32-L32-M32/'费率参数'!$B$2)</f>
        <v/>
      </c>
      <c r="O32" s="8">
        <f>IF(OR(K32="",K32=0),"",N32/K32)</f>
        <v/>
      </c>
      <c r="P32" s="3" t="n"/>
      <c r="Q32" s="3" t="n"/>
      <c r="R32" s="5" t="n"/>
      <c r="S32" s="6">
        <f>IF(OR(R32="",K32=""),"",R32-K32)</f>
        <v/>
      </c>
      <c r="T32" s="2">
        <f>IF(C32="","",IF(K32="","待填价",IF(O32&lt;'费率参数'!$B$9,"⚠️ 利润不足",IF(OR(K32&lt;'费率参数'!$B$11,K32&gt;'费率参数'!$B$12),"🔶 价格带不符",IF(N(Q32)&gt;'费率参数'!$B$10,"🔴 竞争激烈","✅ 推荐测款")))))</f>
        <v/>
      </c>
      <c r="U32" s="3" t="n"/>
      <c r="V32" s="4" t="n"/>
    </row>
    <row r="33">
      <c r="A33" s="2">
        <f>IF(C33="","",ROW()-1)</f>
        <v/>
      </c>
      <c r="B33" s="3" t="n"/>
      <c r="C33" s="4" t="n"/>
      <c r="D33" s="4" t="n"/>
      <c r="E33" s="5" t="n"/>
      <c r="F33" s="3" t="n"/>
      <c r="G33" s="5" t="n"/>
      <c r="H33" s="6">
        <f>IF(F33="","",CEILING(F33/10,1)*'费率参数'!$B$5)</f>
        <v/>
      </c>
      <c r="I33" s="7">
        <f>IF(F33="","",'费率参数'!$B$6)</f>
        <v/>
      </c>
      <c r="J33" s="6">
        <f>IF(F33="","",MAX(H33-I33*'费率参数'!$B$2,0))</f>
        <v/>
      </c>
      <c r="K33" s="5" t="n"/>
      <c r="L33" s="6">
        <f>IF(K33="","",K33*('费率参数'!$B$3+'费率参数'!$B$4))</f>
        <v/>
      </c>
      <c r="M33" s="6">
        <f>IF(E33="","",E33+N(G33)+J33)</f>
        <v/>
      </c>
      <c r="N33" s="6">
        <f>IF(OR(K33="",E33=""),"",K33-L33-M33/'费率参数'!$B$2)</f>
        <v/>
      </c>
      <c r="O33" s="8">
        <f>IF(OR(K33="",K33=0),"",N33/K33)</f>
        <v/>
      </c>
      <c r="P33" s="3" t="n"/>
      <c r="Q33" s="3" t="n"/>
      <c r="R33" s="5" t="n"/>
      <c r="S33" s="6">
        <f>IF(OR(R33="",K33=""),"",R33-K33)</f>
        <v/>
      </c>
      <c r="T33" s="2">
        <f>IF(C33="","",IF(K33="","待填价",IF(O33&lt;'费率参数'!$B$9,"⚠️ 利润不足",IF(OR(K33&lt;'费率参数'!$B$11,K33&gt;'费率参数'!$B$12),"🔶 价格带不符",IF(N(Q33)&gt;'费率参数'!$B$10,"🔴 竞争激烈","✅ 推荐测款")))))</f>
        <v/>
      </c>
      <c r="U33" s="3" t="n"/>
      <c r="V33" s="4" t="n"/>
    </row>
    <row r="34">
      <c r="A34" s="2">
        <f>IF(C34="","",ROW()-1)</f>
        <v/>
      </c>
      <c r="B34" s="3" t="n"/>
      <c r="C34" s="4" t="n"/>
      <c r="D34" s="4" t="n"/>
      <c r="E34" s="5" t="n"/>
      <c r="F34" s="3" t="n"/>
      <c r="G34" s="5" t="n"/>
      <c r="H34" s="6">
        <f>IF(F34="","",CEILING(F34/10,1)*'费率参数'!$B$5)</f>
        <v/>
      </c>
      <c r="I34" s="7">
        <f>IF(F34="","",'费率参数'!$B$6)</f>
        <v/>
      </c>
      <c r="J34" s="6">
        <f>IF(F34="","",MAX(H34-I34*'费率参数'!$B$2,0))</f>
        <v/>
      </c>
      <c r="K34" s="5" t="n"/>
      <c r="L34" s="6">
        <f>IF(K34="","",K34*('费率参数'!$B$3+'费率参数'!$B$4))</f>
        <v/>
      </c>
      <c r="M34" s="6">
        <f>IF(E34="","",E34+N(G34)+J34)</f>
        <v/>
      </c>
      <c r="N34" s="6">
        <f>IF(OR(K34="",E34=""),"",K34-L34-M34/'费率参数'!$B$2)</f>
        <v/>
      </c>
      <c r="O34" s="8">
        <f>IF(OR(K34="",K34=0),"",N34/K34)</f>
        <v/>
      </c>
      <c r="P34" s="3" t="n"/>
      <c r="Q34" s="3" t="n"/>
      <c r="R34" s="5" t="n"/>
      <c r="S34" s="6">
        <f>IF(OR(R34="",K34=""),"",R34-K34)</f>
        <v/>
      </c>
      <c r="T34" s="2">
        <f>IF(C34="","",IF(K34="","待填价",IF(O34&lt;'费率参数'!$B$9,"⚠️ 利润不足",IF(OR(K34&lt;'费率参数'!$B$11,K34&gt;'费率参数'!$B$12),"🔶 价格带不符",IF(N(Q34)&gt;'费率参数'!$B$10,"🔴 竞争激烈","✅ 推荐测款")))))</f>
        <v/>
      </c>
      <c r="U34" s="3" t="n"/>
      <c r="V34" s="4" t="n"/>
    </row>
    <row r="35">
      <c r="A35" s="2">
        <f>IF(C35="","",ROW()-1)</f>
        <v/>
      </c>
      <c r="B35" s="3" t="n"/>
      <c r="C35" s="4" t="n"/>
      <c r="D35" s="4" t="n"/>
      <c r="E35" s="5" t="n"/>
      <c r="F35" s="3" t="n"/>
      <c r="G35" s="5" t="n"/>
      <c r="H35" s="6">
        <f>IF(F35="","",CEILING(F35/10,1)*'费率参数'!$B$5)</f>
        <v/>
      </c>
      <c r="I35" s="7">
        <f>IF(F35="","",'费率参数'!$B$6)</f>
        <v/>
      </c>
      <c r="J35" s="6">
        <f>IF(F35="","",MAX(H35-I35*'费率参数'!$B$2,0))</f>
        <v/>
      </c>
      <c r="K35" s="5" t="n"/>
      <c r="L35" s="6">
        <f>IF(K35="","",K35*('费率参数'!$B$3+'费率参数'!$B$4))</f>
        <v/>
      </c>
      <c r="M35" s="6">
        <f>IF(E35="","",E35+N(G35)+J35)</f>
        <v/>
      </c>
      <c r="N35" s="6">
        <f>IF(OR(K35="",E35=""),"",K35-L35-M35/'费率参数'!$B$2)</f>
        <v/>
      </c>
      <c r="O35" s="8">
        <f>IF(OR(K35="",K35=0),"",N35/K35)</f>
        <v/>
      </c>
      <c r="P35" s="3" t="n"/>
      <c r="Q35" s="3" t="n"/>
      <c r="R35" s="5" t="n"/>
      <c r="S35" s="6">
        <f>IF(OR(R35="",K35=""),"",R35-K35)</f>
        <v/>
      </c>
      <c r="T35" s="2">
        <f>IF(C35="","",IF(K35="","待填价",IF(O35&lt;'费率参数'!$B$9,"⚠️ 利润不足",IF(OR(K35&lt;'费率参数'!$B$11,K35&gt;'费率参数'!$B$12),"🔶 价格带不符",IF(N(Q35)&gt;'费率参数'!$B$10,"🔴 竞争激烈","✅ 推荐测款")))))</f>
        <v/>
      </c>
      <c r="U35" s="3" t="n"/>
      <c r="V35" s="4" t="n"/>
    </row>
    <row r="36">
      <c r="A36" s="2">
        <f>IF(C36="","",ROW()-1)</f>
        <v/>
      </c>
      <c r="B36" s="3" t="n"/>
      <c r="C36" s="4" t="n"/>
      <c r="D36" s="4" t="n"/>
      <c r="E36" s="5" t="n"/>
      <c r="F36" s="3" t="n"/>
      <c r="G36" s="5" t="n"/>
      <c r="H36" s="6">
        <f>IF(F36="","",CEILING(F36/10,1)*'费率参数'!$B$5)</f>
        <v/>
      </c>
      <c r="I36" s="7">
        <f>IF(F36="","",'费率参数'!$B$6)</f>
        <v/>
      </c>
      <c r="J36" s="6">
        <f>IF(F36="","",MAX(H36-I36*'费率参数'!$B$2,0))</f>
        <v/>
      </c>
      <c r="K36" s="5" t="n"/>
      <c r="L36" s="6">
        <f>IF(K36="","",K36*('费率参数'!$B$3+'费率参数'!$B$4))</f>
        <v/>
      </c>
      <c r="M36" s="6">
        <f>IF(E36="","",E36+N(G36)+J36)</f>
        <v/>
      </c>
      <c r="N36" s="6">
        <f>IF(OR(K36="",E36=""),"",K36-L36-M36/'费率参数'!$B$2)</f>
        <v/>
      </c>
      <c r="O36" s="8">
        <f>IF(OR(K36="",K36=0),"",N36/K36)</f>
        <v/>
      </c>
      <c r="P36" s="3" t="n"/>
      <c r="Q36" s="3" t="n"/>
      <c r="R36" s="5" t="n"/>
      <c r="S36" s="6">
        <f>IF(OR(R36="",K36=""),"",R36-K36)</f>
        <v/>
      </c>
      <c r="T36" s="2">
        <f>IF(C36="","",IF(K36="","待填价",IF(O36&lt;'费率参数'!$B$9,"⚠️ 利润不足",IF(OR(K36&lt;'费率参数'!$B$11,K36&gt;'费率参数'!$B$12),"🔶 价格带不符",IF(N(Q36)&gt;'费率参数'!$B$10,"🔴 竞争激烈","✅ 推荐测款")))))</f>
        <v/>
      </c>
      <c r="U36" s="3" t="n"/>
      <c r="V36" s="4" t="n"/>
    </row>
    <row r="37">
      <c r="A37" s="2">
        <f>IF(C37="","",ROW()-1)</f>
        <v/>
      </c>
      <c r="B37" s="3" t="n"/>
      <c r="C37" s="4" t="n"/>
      <c r="D37" s="4" t="n"/>
      <c r="E37" s="5" t="n"/>
      <c r="F37" s="3" t="n"/>
      <c r="G37" s="5" t="n"/>
      <c r="H37" s="6">
        <f>IF(F37="","",CEILING(F37/10,1)*'费率参数'!$B$5)</f>
        <v/>
      </c>
      <c r="I37" s="7">
        <f>IF(F37="","",'费率参数'!$B$6)</f>
        <v/>
      </c>
      <c r="J37" s="6">
        <f>IF(F37="","",MAX(H37-I37*'费率参数'!$B$2,0))</f>
        <v/>
      </c>
      <c r="K37" s="5" t="n"/>
      <c r="L37" s="6">
        <f>IF(K37="","",K37*('费率参数'!$B$3+'费率参数'!$B$4))</f>
        <v/>
      </c>
      <c r="M37" s="6">
        <f>IF(E37="","",E37+N(G37)+J37)</f>
        <v/>
      </c>
      <c r="N37" s="6">
        <f>IF(OR(K37="",E37=""),"",K37-L37-M37/'费率参数'!$B$2)</f>
        <v/>
      </c>
      <c r="O37" s="8">
        <f>IF(OR(K37="",K37=0),"",N37/K37)</f>
        <v/>
      </c>
      <c r="P37" s="3" t="n"/>
      <c r="Q37" s="3" t="n"/>
      <c r="R37" s="5" t="n"/>
      <c r="S37" s="6">
        <f>IF(OR(R37="",K37=""),"",R37-K37)</f>
        <v/>
      </c>
      <c r="T37" s="2">
        <f>IF(C37="","",IF(K37="","待填价",IF(O37&lt;'费率参数'!$B$9,"⚠️ 利润不足",IF(OR(K37&lt;'费率参数'!$B$11,K37&gt;'费率参数'!$B$12),"🔶 价格带不符",IF(N(Q37)&gt;'费率参数'!$B$10,"🔴 竞争激烈","✅ 推荐测款")))))</f>
        <v/>
      </c>
      <c r="U37" s="3" t="n"/>
      <c r="V37" s="4" t="n"/>
    </row>
    <row r="38">
      <c r="A38" s="2">
        <f>IF(C38="","",ROW()-1)</f>
        <v/>
      </c>
      <c r="B38" s="3" t="n"/>
      <c r="C38" s="4" t="n"/>
      <c r="D38" s="4" t="n"/>
      <c r="E38" s="5" t="n"/>
      <c r="F38" s="3" t="n"/>
      <c r="G38" s="5" t="n"/>
      <c r="H38" s="6">
        <f>IF(F38="","",CEILING(F38/10,1)*'费率参数'!$B$5)</f>
        <v/>
      </c>
      <c r="I38" s="7">
        <f>IF(F38="","",'费率参数'!$B$6)</f>
        <v/>
      </c>
      <c r="J38" s="6">
        <f>IF(F38="","",MAX(H38-I38*'费率参数'!$B$2,0))</f>
        <v/>
      </c>
      <c r="K38" s="5" t="n"/>
      <c r="L38" s="6">
        <f>IF(K38="","",K38*('费率参数'!$B$3+'费率参数'!$B$4))</f>
        <v/>
      </c>
      <c r="M38" s="6">
        <f>IF(E38="","",E38+N(G38)+J38)</f>
        <v/>
      </c>
      <c r="N38" s="6">
        <f>IF(OR(K38="",E38=""),"",K38-L38-M38/'费率参数'!$B$2)</f>
        <v/>
      </c>
      <c r="O38" s="8">
        <f>IF(OR(K38="",K38=0),"",N38/K38)</f>
        <v/>
      </c>
      <c r="P38" s="3" t="n"/>
      <c r="Q38" s="3" t="n"/>
      <c r="R38" s="5" t="n"/>
      <c r="S38" s="6">
        <f>IF(OR(R38="",K38=""),"",R38-K38)</f>
        <v/>
      </c>
      <c r="T38" s="2">
        <f>IF(C38="","",IF(K38="","待填价",IF(O38&lt;'费率参数'!$B$9,"⚠️ 利润不足",IF(OR(K38&lt;'费率参数'!$B$11,K38&gt;'费率参数'!$B$12),"🔶 价格带不符",IF(N(Q38)&gt;'费率参数'!$B$10,"🔴 竞争激烈","✅ 推荐测款")))))</f>
        <v/>
      </c>
      <c r="U38" s="3" t="n"/>
      <c r="V38" s="4" t="n"/>
    </row>
    <row r="39">
      <c r="A39" s="2">
        <f>IF(C39="","",ROW()-1)</f>
        <v/>
      </c>
      <c r="B39" s="3" t="n"/>
      <c r="C39" s="4" t="n"/>
      <c r="D39" s="4" t="n"/>
      <c r="E39" s="5" t="n"/>
      <c r="F39" s="3" t="n"/>
      <c r="G39" s="5" t="n"/>
      <c r="H39" s="6">
        <f>IF(F39="","",CEILING(F39/10,1)*'费率参数'!$B$5)</f>
        <v/>
      </c>
      <c r="I39" s="7">
        <f>IF(F39="","",'费率参数'!$B$6)</f>
        <v/>
      </c>
      <c r="J39" s="6">
        <f>IF(F39="","",MAX(H39-I39*'费率参数'!$B$2,0))</f>
        <v/>
      </c>
      <c r="K39" s="5" t="n"/>
      <c r="L39" s="6">
        <f>IF(K39="","",K39*('费率参数'!$B$3+'费率参数'!$B$4))</f>
        <v/>
      </c>
      <c r="M39" s="6">
        <f>IF(E39="","",E39+N(G39)+J39)</f>
        <v/>
      </c>
      <c r="N39" s="6">
        <f>IF(OR(K39="",E39=""),"",K39-L39-M39/'费率参数'!$B$2)</f>
        <v/>
      </c>
      <c r="O39" s="8">
        <f>IF(OR(K39="",K39=0),"",N39/K39)</f>
        <v/>
      </c>
      <c r="P39" s="3" t="n"/>
      <c r="Q39" s="3" t="n"/>
      <c r="R39" s="5" t="n"/>
      <c r="S39" s="6">
        <f>IF(OR(R39="",K39=""),"",R39-K39)</f>
        <v/>
      </c>
      <c r="T39" s="2">
        <f>IF(C39="","",IF(K39="","待填价",IF(O39&lt;'费率参数'!$B$9,"⚠️ 利润不足",IF(OR(K39&lt;'费率参数'!$B$11,K39&gt;'费率参数'!$B$12),"🔶 价格带不符",IF(N(Q39)&gt;'费率参数'!$B$10,"🔴 竞争激烈","✅ 推荐测款")))))</f>
        <v/>
      </c>
      <c r="U39" s="3" t="n"/>
      <c r="V39" s="4" t="n"/>
    </row>
    <row r="40">
      <c r="A40" s="2">
        <f>IF(C40="","",ROW()-1)</f>
        <v/>
      </c>
      <c r="B40" s="3" t="n"/>
      <c r="C40" s="4" t="n"/>
      <c r="D40" s="4" t="n"/>
      <c r="E40" s="5" t="n"/>
      <c r="F40" s="3" t="n"/>
      <c r="G40" s="5" t="n"/>
      <c r="H40" s="6">
        <f>IF(F40="","",CEILING(F40/10,1)*'费率参数'!$B$5)</f>
        <v/>
      </c>
      <c r="I40" s="7">
        <f>IF(F40="","",'费率参数'!$B$6)</f>
        <v/>
      </c>
      <c r="J40" s="6">
        <f>IF(F40="","",MAX(H40-I40*'费率参数'!$B$2,0))</f>
        <v/>
      </c>
      <c r="K40" s="5" t="n"/>
      <c r="L40" s="6">
        <f>IF(K40="","",K40*('费率参数'!$B$3+'费率参数'!$B$4))</f>
        <v/>
      </c>
      <c r="M40" s="6">
        <f>IF(E40="","",E40+N(G40)+J40)</f>
        <v/>
      </c>
      <c r="N40" s="6">
        <f>IF(OR(K40="",E40=""),"",K40-L40-M40/'费率参数'!$B$2)</f>
        <v/>
      </c>
      <c r="O40" s="8">
        <f>IF(OR(K40="",K40=0),"",N40/K40)</f>
        <v/>
      </c>
      <c r="P40" s="3" t="n"/>
      <c r="Q40" s="3" t="n"/>
      <c r="R40" s="5" t="n"/>
      <c r="S40" s="6">
        <f>IF(OR(R40="",K40=""),"",R40-K40)</f>
        <v/>
      </c>
      <c r="T40" s="2">
        <f>IF(C40="","",IF(K40="","待填价",IF(O40&lt;'费率参数'!$B$9,"⚠️ 利润不足",IF(OR(K40&lt;'费率参数'!$B$11,K40&gt;'费率参数'!$B$12),"🔶 价格带不符",IF(N(Q40)&gt;'费率参数'!$B$10,"🔴 竞争激烈","✅ 推荐测款")))))</f>
        <v/>
      </c>
      <c r="U40" s="3" t="n"/>
      <c r="V40" s="4" t="n"/>
    </row>
    <row r="41">
      <c r="A41" s="2">
        <f>IF(C41="","",ROW()-1)</f>
        <v/>
      </c>
      <c r="B41" s="3" t="n"/>
      <c r="C41" s="4" t="n"/>
      <c r="D41" s="4" t="n"/>
      <c r="E41" s="5" t="n"/>
      <c r="F41" s="3" t="n"/>
      <c r="G41" s="5" t="n"/>
      <c r="H41" s="6">
        <f>IF(F41="","",CEILING(F41/10,1)*'费率参数'!$B$5)</f>
        <v/>
      </c>
      <c r="I41" s="7">
        <f>IF(F41="","",'费率参数'!$B$6)</f>
        <v/>
      </c>
      <c r="J41" s="6">
        <f>IF(F41="","",MAX(H41-I41*'费率参数'!$B$2,0))</f>
        <v/>
      </c>
      <c r="K41" s="5" t="n"/>
      <c r="L41" s="6">
        <f>IF(K41="","",K41*('费率参数'!$B$3+'费率参数'!$B$4))</f>
        <v/>
      </c>
      <c r="M41" s="6">
        <f>IF(E41="","",E41+N(G41)+J41)</f>
        <v/>
      </c>
      <c r="N41" s="6">
        <f>IF(OR(K41="",E41=""),"",K41-L41-M41/'费率参数'!$B$2)</f>
        <v/>
      </c>
      <c r="O41" s="8">
        <f>IF(OR(K41="",K41=0),"",N41/K41)</f>
        <v/>
      </c>
      <c r="P41" s="3" t="n"/>
      <c r="Q41" s="3" t="n"/>
      <c r="R41" s="5" t="n"/>
      <c r="S41" s="6">
        <f>IF(OR(R41="",K41=""),"",R41-K41)</f>
        <v/>
      </c>
      <c r="T41" s="2">
        <f>IF(C41="","",IF(K41="","待填价",IF(O41&lt;'费率参数'!$B$9,"⚠️ 利润不足",IF(OR(K41&lt;'费率参数'!$B$11,K41&gt;'费率参数'!$B$12),"🔶 价格带不符",IF(N(Q41)&gt;'费率参数'!$B$10,"🔴 竞争激烈","✅ 推荐测款")))))</f>
        <v/>
      </c>
      <c r="U41" s="3" t="n"/>
      <c r="V41" s="4" t="n"/>
    </row>
    <row r="42">
      <c r="A42" s="2">
        <f>IF(C42="","",ROW()-1)</f>
        <v/>
      </c>
      <c r="B42" s="3" t="n"/>
      <c r="C42" s="4" t="n"/>
      <c r="D42" s="4" t="n"/>
      <c r="E42" s="5" t="n"/>
      <c r="F42" s="3" t="n"/>
      <c r="G42" s="5" t="n"/>
      <c r="H42" s="6">
        <f>IF(F42="","",CEILING(F42/10,1)*'费率参数'!$B$5)</f>
        <v/>
      </c>
      <c r="I42" s="7">
        <f>IF(F42="","",'费率参数'!$B$6)</f>
        <v/>
      </c>
      <c r="J42" s="6">
        <f>IF(F42="","",MAX(H42-I42*'费率参数'!$B$2,0))</f>
        <v/>
      </c>
      <c r="K42" s="5" t="n"/>
      <c r="L42" s="6">
        <f>IF(K42="","",K42*('费率参数'!$B$3+'费率参数'!$B$4))</f>
        <v/>
      </c>
      <c r="M42" s="6">
        <f>IF(E42="","",E42+N(G42)+J42)</f>
        <v/>
      </c>
      <c r="N42" s="6">
        <f>IF(OR(K42="",E42=""),"",K42-L42-M42/'费率参数'!$B$2)</f>
        <v/>
      </c>
      <c r="O42" s="8">
        <f>IF(OR(K42="",K42=0),"",N42/K42)</f>
        <v/>
      </c>
      <c r="P42" s="3" t="n"/>
      <c r="Q42" s="3" t="n"/>
      <c r="R42" s="5" t="n"/>
      <c r="S42" s="6">
        <f>IF(OR(R42="",K42=""),"",R42-K42)</f>
        <v/>
      </c>
      <c r="T42" s="2">
        <f>IF(C42="","",IF(K42="","待填价",IF(O42&lt;'费率参数'!$B$9,"⚠️ 利润不足",IF(OR(K42&lt;'费率参数'!$B$11,K42&gt;'费率参数'!$B$12),"🔶 价格带不符",IF(N(Q42)&gt;'费率参数'!$B$10,"🔴 竞争激烈","✅ 推荐测款")))))</f>
        <v/>
      </c>
      <c r="U42" s="3" t="n"/>
      <c r="V42" s="4" t="n"/>
    </row>
    <row r="43">
      <c r="A43" s="2">
        <f>IF(C43="","",ROW()-1)</f>
        <v/>
      </c>
      <c r="B43" s="3" t="n"/>
      <c r="C43" s="4" t="n"/>
      <c r="D43" s="4" t="n"/>
      <c r="E43" s="5" t="n"/>
      <c r="F43" s="3" t="n"/>
      <c r="G43" s="5" t="n"/>
      <c r="H43" s="6">
        <f>IF(F43="","",CEILING(F43/10,1)*'费率参数'!$B$5)</f>
        <v/>
      </c>
      <c r="I43" s="7">
        <f>IF(F43="","",'费率参数'!$B$6)</f>
        <v/>
      </c>
      <c r="J43" s="6">
        <f>IF(F43="","",MAX(H43-I43*'费率参数'!$B$2,0))</f>
        <v/>
      </c>
      <c r="K43" s="5" t="n"/>
      <c r="L43" s="6">
        <f>IF(K43="","",K43*('费率参数'!$B$3+'费率参数'!$B$4))</f>
        <v/>
      </c>
      <c r="M43" s="6">
        <f>IF(E43="","",E43+N(G43)+J43)</f>
        <v/>
      </c>
      <c r="N43" s="6">
        <f>IF(OR(K43="",E43=""),"",K43-L43-M43/'费率参数'!$B$2)</f>
        <v/>
      </c>
      <c r="O43" s="8">
        <f>IF(OR(K43="",K43=0),"",N43/K43)</f>
        <v/>
      </c>
      <c r="P43" s="3" t="n"/>
      <c r="Q43" s="3" t="n"/>
      <c r="R43" s="5" t="n"/>
      <c r="S43" s="6">
        <f>IF(OR(R43="",K43=""),"",R43-K43)</f>
        <v/>
      </c>
      <c r="T43" s="2">
        <f>IF(C43="","",IF(K43="","待填价",IF(O43&lt;'费率参数'!$B$9,"⚠️ 利润不足",IF(OR(K43&lt;'费率参数'!$B$11,K43&gt;'费率参数'!$B$12),"🔶 价格带不符",IF(N(Q43)&gt;'费率参数'!$B$10,"🔴 竞争激烈","✅ 推荐测款")))))</f>
        <v/>
      </c>
      <c r="U43" s="3" t="n"/>
      <c r="V43" s="4" t="n"/>
    </row>
    <row r="44">
      <c r="A44" s="2">
        <f>IF(C44="","",ROW()-1)</f>
        <v/>
      </c>
      <c r="B44" s="3" t="n"/>
      <c r="C44" s="4" t="n"/>
      <c r="D44" s="4" t="n"/>
      <c r="E44" s="5" t="n"/>
      <c r="F44" s="3" t="n"/>
      <c r="G44" s="5" t="n"/>
      <c r="H44" s="6">
        <f>IF(F44="","",CEILING(F44/10,1)*'费率参数'!$B$5)</f>
        <v/>
      </c>
      <c r="I44" s="7">
        <f>IF(F44="","",'费率参数'!$B$6)</f>
        <v/>
      </c>
      <c r="J44" s="6">
        <f>IF(F44="","",MAX(H44-I44*'费率参数'!$B$2,0))</f>
        <v/>
      </c>
      <c r="K44" s="5" t="n"/>
      <c r="L44" s="6">
        <f>IF(K44="","",K44*('费率参数'!$B$3+'费率参数'!$B$4))</f>
        <v/>
      </c>
      <c r="M44" s="6">
        <f>IF(E44="","",E44+N(G44)+J44)</f>
        <v/>
      </c>
      <c r="N44" s="6">
        <f>IF(OR(K44="",E44=""),"",K44-L44-M44/'费率参数'!$B$2)</f>
        <v/>
      </c>
      <c r="O44" s="8">
        <f>IF(OR(K44="",K44=0),"",N44/K44)</f>
        <v/>
      </c>
      <c r="P44" s="3" t="n"/>
      <c r="Q44" s="3" t="n"/>
      <c r="R44" s="5" t="n"/>
      <c r="S44" s="6">
        <f>IF(OR(R44="",K44=""),"",R44-K44)</f>
        <v/>
      </c>
      <c r="T44" s="2">
        <f>IF(C44="","",IF(K44="","待填价",IF(O44&lt;'费率参数'!$B$9,"⚠️ 利润不足",IF(OR(K44&lt;'费率参数'!$B$11,K44&gt;'费率参数'!$B$12),"🔶 价格带不符",IF(N(Q44)&gt;'费率参数'!$B$10,"🔴 竞争激烈","✅ 推荐测款")))))</f>
        <v/>
      </c>
      <c r="U44" s="3" t="n"/>
      <c r="V44" s="4" t="n"/>
    </row>
    <row r="45">
      <c r="A45" s="2">
        <f>IF(C45="","",ROW()-1)</f>
        <v/>
      </c>
      <c r="B45" s="3" t="n"/>
      <c r="C45" s="4" t="n"/>
      <c r="D45" s="4" t="n"/>
      <c r="E45" s="5" t="n"/>
      <c r="F45" s="3" t="n"/>
      <c r="G45" s="5" t="n"/>
      <c r="H45" s="6">
        <f>IF(F45="","",CEILING(F45/10,1)*'费率参数'!$B$5)</f>
        <v/>
      </c>
      <c r="I45" s="7">
        <f>IF(F45="","",'费率参数'!$B$6)</f>
        <v/>
      </c>
      <c r="J45" s="6">
        <f>IF(F45="","",MAX(H45-I45*'费率参数'!$B$2,0))</f>
        <v/>
      </c>
      <c r="K45" s="5" t="n"/>
      <c r="L45" s="6">
        <f>IF(K45="","",K45*('费率参数'!$B$3+'费率参数'!$B$4))</f>
        <v/>
      </c>
      <c r="M45" s="6">
        <f>IF(E45="","",E45+N(G45)+J45)</f>
        <v/>
      </c>
      <c r="N45" s="6">
        <f>IF(OR(K45="",E45=""),"",K45-L45-M45/'费率参数'!$B$2)</f>
        <v/>
      </c>
      <c r="O45" s="8">
        <f>IF(OR(K45="",K45=0),"",N45/K45)</f>
        <v/>
      </c>
      <c r="P45" s="3" t="n"/>
      <c r="Q45" s="3" t="n"/>
      <c r="R45" s="5" t="n"/>
      <c r="S45" s="6">
        <f>IF(OR(R45="",K45=""),"",R45-K45)</f>
        <v/>
      </c>
      <c r="T45" s="2">
        <f>IF(C45="","",IF(K45="","待填价",IF(O45&lt;'费率参数'!$B$9,"⚠️ 利润不足",IF(OR(K45&lt;'费率参数'!$B$11,K45&gt;'费率参数'!$B$12),"🔶 价格带不符",IF(N(Q45)&gt;'费率参数'!$B$10,"🔴 竞争激烈","✅ 推荐测款")))))</f>
        <v/>
      </c>
      <c r="U45" s="3" t="n"/>
      <c r="V45" s="4" t="n"/>
    </row>
    <row r="46">
      <c r="A46" s="2">
        <f>IF(C46="","",ROW()-1)</f>
        <v/>
      </c>
      <c r="B46" s="3" t="n"/>
      <c r="C46" s="4" t="n"/>
      <c r="D46" s="4" t="n"/>
      <c r="E46" s="5" t="n"/>
      <c r="F46" s="3" t="n"/>
      <c r="G46" s="5" t="n"/>
      <c r="H46" s="6">
        <f>IF(F46="","",CEILING(F46/10,1)*'费率参数'!$B$5)</f>
        <v/>
      </c>
      <c r="I46" s="7">
        <f>IF(F46="","",'费率参数'!$B$6)</f>
        <v/>
      </c>
      <c r="J46" s="6">
        <f>IF(F46="","",MAX(H46-I46*'费率参数'!$B$2,0))</f>
        <v/>
      </c>
      <c r="K46" s="5" t="n"/>
      <c r="L46" s="6">
        <f>IF(K46="","",K46*('费率参数'!$B$3+'费率参数'!$B$4))</f>
        <v/>
      </c>
      <c r="M46" s="6">
        <f>IF(E46="","",E46+N(G46)+J46)</f>
        <v/>
      </c>
      <c r="N46" s="6">
        <f>IF(OR(K46="",E46=""),"",K46-L46-M46/'费率参数'!$B$2)</f>
        <v/>
      </c>
      <c r="O46" s="8">
        <f>IF(OR(K46="",K46=0),"",N46/K46)</f>
        <v/>
      </c>
      <c r="P46" s="3" t="n"/>
      <c r="Q46" s="3" t="n"/>
      <c r="R46" s="5" t="n"/>
      <c r="S46" s="6">
        <f>IF(OR(R46="",K46=""),"",R46-K46)</f>
        <v/>
      </c>
      <c r="T46" s="2">
        <f>IF(C46="","",IF(K46="","待填价",IF(O46&lt;'费率参数'!$B$9,"⚠️ 利润不足",IF(OR(K46&lt;'费率参数'!$B$11,K46&gt;'费率参数'!$B$12),"🔶 价格带不符",IF(N(Q46)&gt;'费率参数'!$B$10,"🔴 竞争激烈","✅ 推荐测款")))))</f>
        <v/>
      </c>
      <c r="U46" s="3" t="n"/>
      <c r="V46" s="4" t="n"/>
    </row>
    <row r="47">
      <c r="A47" s="2">
        <f>IF(C47="","",ROW()-1)</f>
        <v/>
      </c>
      <c r="B47" s="3" t="n"/>
      <c r="C47" s="4" t="n"/>
      <c r="D47" s="4" t="n"/>
      <c r="E47" s="5" t="n"/>
      <c r="F47" s="3" t="n"/>
      <c r="G47" s="5" t="n"/>
      <c r="H47" s="6">
        <f>IF(F47="","",CEILING(F47/10,1)*'费率参数'!$B$5)</f>
        <v/>
      </c>
      <c r="I47" s="7">
        <f>IF(F47="","",'费率参数'!$B$6)</f>
        <v/>
      </c>
      <c r="J47" s="6">
        <f>IF(F47="","",MAX(H47-I47*'费率参数'!$B$2,0))</f>
        <v/>
      </c>
      <c r="K47" s="5" t="n"/>
      <c r="L47" s="6">
        <f>IF(K47="","",K47*('费率参数'!$B$3+'费率参数'!$B$4))</f>
        <v/>
      </c>
      <c r="M47" s="6">
        <f>IF(E47="","",E47+N(G47)+J47)</f>
        <v/>
      </c>
      <c r="N47" s="6">
        <f>IF(OR(K47="",E47=""),"",K47-L47-M47/'费率参数'!$B$2)</f>
        <v/>
      </c>
      <c r="O47" s="8">
        <f>IF(OR(K47="",K47=0),"",N47/K47)</f>
        <v/>
      </c>
      <c r="P47" s="3" t="n"/>
      <c r="Q47" s="3" t="n"/>
      <c r="R47" s="5" t="n"/>
      <c r="S47" s="6">
        <f>IF(OR(R47="",K47=""),"",R47-K47)</f>
        <v/>
      </c>
      <c r="T47" s="2">
        <f>IF(C47="","",IF(K47="","待填价",IF(O47&lt;'费率参数'!$B$9,"⚠️ 利润不足",IF(OR(K47&lt;'费率参数'!$B$11,K47&gt;'费率参数'!$B$12),"🔶 价格带不符",IF(N(Q47)&gt;'费率参数'!$B$10,"🔴 竞争激烈","✅ 推荐测款")))))</f>
        <v/>
      </c>
      <c r="U47" s="3" t="n"/>
      <c r="V47" s="4" t="n"/>
    </row>
    <row r="48">
      <c r="A48" s="2">
        <f>IF(C48="","",ROW()-1)</f>
        <v/>
      </c>
      <c r="B48" s="3" t="n"/>
      <c r="C48" s="4" t="n"/>
      <c r="D48" s="4" t="n"/>
      <c r="E48" s="5" t="n"/>
      <c r="F48" s="3" t="n"/>
      <c r="G48" s="5" t="n"/>
      <c r="H48" s="6">
        <f>IF(F48="","",CEILING(F48/10,1)*'费率参数'!$B$5)</f>
        <v/>
      </c>
      <c r="I48" s="7">
        <f>IF(F48="","",'费率参数'!$B$6)</f>
        <v/>
      </c>
      <c r="J48" s="6">
        <f>IF(F48="","",MAX(H48-I48*'费率参数'!$B$2,0))</f>
        <v/>
      </c>
      <c r="K48" s="5" t="n"/>
      <c r="L48" s="6">
        <f>IF(K48="","",K48*('费率参数'!$B$3+'费率参数'!$B$4))</f>
        <v/>
      </c>
      <c r="M48" s="6">
        <f>IF(E48="","",E48+N(G48)+J48)</f>
        <v/>
      </c>
      <c r="N48" s="6">
        <f>IF(OR(K48="",E48=""),"",K48-L48-M48/'费率参数'!$B$2)</f>
        <v/>
      </c>
      <c r="O48" s="8">
        <f>IF(OR(K48="",K48=0),"",N48/K48)</f>
        <v/>
      </c>
      <c r="P48" s="3" t="n"/>
      <c r="Q48" s="3" t="n"/>
      <c r="R48" s="5" t="n"/>
      <c r="S48" s="6">
        <f>IF(OR(R48="",K48=""),"",R48-K48)</f>
        <v/>
      </c>
      <c r="T48" s="2">
        <f>IF(C48="","",IF(K48="","待填价",IF(O48&lt;'费率参数'!$B$9,"⚠️ 利润不足",IF(OR(K48&lt;'费率参数'!$B$11,K48&gt;'费率参数'!$B$12),"🔶 价格带不符",IF(N(Q48)&gt;'费率参数'!$B$10,"🔴 竞争激烈","✅ 推荐测款")))))</f>
        <v/>
      </c>
      <c r="U48" s="3" t="n"/>
      <c r="V48" s="4" t="n"/>
    </row>
    <row r="49">
      <c r="A49" s="2">
        <f>IF(C49="","",ROW()-1)</f>
        <v/>
      </c>
      <c r="B49" s="3" t="n"/>
      <c r="C49" s="4" t="n"/>
      <c r="D49" s="4" t="n"/>
      <c r="E49" s="5" t="n"/>
      <c r="F49" s="3" t="n"/>
      <c r="G49" s="5" t="n"/>
      <c r="H49" s="6">
        <f>IF(F49="","",CEILING(F49/10,1)*'费率参数'!$B$5)</f>
        <v/>
      </c>
      <c r="I49" s="7">
        <f>IF(F49="","",'费率参数'!$B$6)</f>
        <v/>
      </c>
      <c r="J49" s="6">
        <f>IF(F49="","",MAX(H49-I49*'费率参数'!$B$2,0))</f>
        <v/>
      </c>
      <c r="K49" s="5" t="n"/>
      <c r="L49" s="6">
        <f>IF(K49="","",K49*('费率参数'!$B$3+'费率参数'!$B$4))</f>
        <v/>
      </c>
      <c r="M49" s="6">
        <f>IF(E49="","",E49+N(G49)+J49)</f>
        <v/>
      </c>
      <c r="N49" s="6">
        <f>IF(OR(K49="",E49=""),"",K49-L49-M49/'费率参数'!$B$2)</f>
        <v/>
      </c>
      <c r="O49" s="8">
        <f>IF(OR(K49="",K49=0),"",N49/K49)</f>
        <v/>
      </c>
      <c r="P49" s="3" t="n"/>
      <c r="Q49" s="3" t="n"/>
      <c r="R49" s="5" t="n"/>
      <c r="S49" s="6">
        <f>IF(OR(R49="",K49=""),"",R49-K49)</f>
        <v/>
      </c>
      <c r="T49" s="2">
        <f>IF(C49="","",IF(K49="","待填价",IF(O49&lt;'费率参数'!$B$9,"⚠️ 利润不足",IF(OR(K49&lt;'费率参数'!$B$11,K49&gt;'费率参数'!$B$12),"🔶 价格带不符",IF(N(Q49)&gt;'费率参数'!$B$10,"🔴 竞争激烈","✅ 推荐测款")))))</f>
        <v/>
      </c>
      <c r="U49" s="3" t="n"/>
      <c r="V49" s="4" t="n"/>
    </row>
    <row r="50">
      <c r="A50" s="2">
        <f>IF(C50="","",ROW()-1)</f>
        <v/>
      </c>
      <c r="B50" s="3" t="n"/>
      <c r="C50" s="4" t="n"/>
      <c r="D50" s="4" t="n"/>
      <c r="E50" s="5" t="n"/>
      <c r="F50" s="3" t="n"/>
      <c r="G50" s="5" t="n"/>
      <c r="H50" s="6">
        <f>IF(F50="","",CEILING(F50/10,1)*'费率参数'!$B$5)</f>
        <v/>
      </c>
      <c r="I50" s="7">
        <f>IF(F50="","",'费率参数'!$B$6)</f>
        <v/>
      </c>
      <c r="J50" s="6">
        <f>IF(F50="","",MAX(H50-I50*'费率参数'!$B$2,0))</f>
        <v/>
      </c>
      <c r="K50" s="5" t="n"/>
      <c r="L50" s="6">
        <f>IF(K50="","",K50*('费率参数'!$B$3+'费率参数'!$B$4))</f>
        <v/>
      </c>
      <c r="M50" s="6">
        <f>IF(E50="","",E50+N(G50)+J50)</f>
        <v/>
      </c>
      <c r="N50" s="6">
        <f>IF(OR(K50="",E50=""),"",K50-L50-M50/'费率参数'!$B$2)</f>
        <v/>
      </c>
      <c r="O50" s="8">
        <f>IF(OR(K50="",K50=0),"",N50/K50)</f>
        <v/>
      </c>
      <c r="P50" s="3" t="n"/>
      <c r="Q50" s="3" t="n"/>
      <c r="R50" s="5" t="n"/>
      <c r="S50" s="6">
        <f>IF(OR(R50="",K50=""),"",R50-K50)</f>
        <v/>
      </c>
      <c r="T50" s="2">
        <f>IF(C50="","",IF(K50="","待填价",IF(O50&lt;'费率参数'!$B$9,"⚠️ 利润不足",IF(OR(K50&lt;'费率参数'!$B$11,K50&gt;'费率参数'!$B$12),"🔶 价格带不符",IF(N(Q50)&gt;'费率参数'!$B$10,"🔴 竞争激烈","✅ 推荐测款")))))</f>
        <v/>
      </c>
      <c r="U50" s="3" t="n"/>
      <c r="V50" s="4" t="n"/>
    </row>
    <row r="51">
      <c r="A51" s="2">
        <f>IF(C51="","",ROW()-1)</f>
        <v/>
      </c>
      <c r="B51" s="3" t="n"/>
      <c r="C51" s="4" t="n"/>
      <c r="D51" s="4" t="n"/>
      <c r="E51" s="5" t="n"/>
      <c r="F51" s="3" t="n"/>
      <c r="G51" s="5" t="n"/>
      <c r="H51" s="6">
        <f>IF(F51="","",CEILING(F51/10,1)*'费率参数'!$B$5)</f>
        <v/>
      </c>
      <c r="I51" s="7">
        <f>IF(F51="","",'费率参数'!$B$6)</f>
        <v/>
      </c>
      <c r="J51" s="6">
        <f>IF(F51="","",MAX(H51-I51*'费率参数'!$B$2,0))</f>
        <v/>
      </c>
      <c r="K51" s="5" t="n"/>
      <c r="L51" s="6">
        <f>IF(K51="","",K51*('费率参数'!$B$3+'费率参数'!$B$4))</f>
        <v/>
      </c>
      <c r="M51" s="6">
        <f>IF(E51="","",E51+N(G51)+J51)</f>
        <v/>
      </c>
      <c r="N51" s="6">
        <f>IF(OR(K51="",E51=""),"",K51-L51-M51/'费率参数'!$B$2)</f>
        <v/>
      </c>
      <c r="O51" s="8">
        <f>IF(OR(K51="",K51=0),"",N51/K51)</f>
        <v/>
      </c>
      <c r="P51" s="3" t="n"/>
      <c r="Q51" s="3" t="n"/>
      <c r="R51" s="5" t="n"/>
      <c r="S51" s="6">
        <f>IF(OR(R51="",K51=""),"",R51-K51)</f>
        <v/>
      </c>
      <c r="T51" s="2">
        <f>IF(C51="","",IF(K51="","待填价",IF(O51&lt;'费率参数'!$B$9,"⚠️ 利润不足",IF(OR(K51&lt;'费率参数'!$B$11,K51&gt;'费率参数'!$B$12),"🔶 价格带不符",IF(N(Q51)&gt;'费率参数'!$B$10,"🔴 竞争激烈","✅ 推荐测款")))))</f>
        <v/>
      </c>
      <c r="U51" s="3" t="n"/>
      <c r="V51" s="4" t="n"/>
    </row>
    <row r="52">
      <c r="A52" s="2">
        <f>IF(C52="","",ROW()-1)</f>
        <v/>
      </c>
      <c r="B52" s="3" t="n"/>
      <c r="C52" s="4" t="n"/>
      <c r="D52" s="4" t="n"/>
      <c r="E52" s="5" t="n"/>
      <c r="F52" s="3" t="n"/>
      <c r="G52" s="5" t="n"/>
      <c r="H52" s="6">
        <f>IF(F52="","",CEILING(F52/10,1)*'费率参数'!$B$5)</f>
        <v/>
      </c>
      <c r="I52" s="7">
        <f>IF(F52="","",'费率参数'!$B$6)</f>
        <v/>
      </c>
      <c r="J52" s="6">
        <f>IF(F52="","",MAX(H52-I52*'费率参数'!$B$2,0))</f>
        <v/>
      </c>
      <c r="K52" s="5" t="n"/>
      <c r="L52" s="6">
        <f>IF(K52="","",K52*('费率参数'!$B$3+'费率参数'!$B$4))</f>
        <v/>
      </c>
      <c r="M52" s="6">
        <f>IF(E52="","",E52+N(G52)+J52)</f>
        <v/>
      </c>
      <c r="N52" s="6">
        <f>IF(OR(K52="",E52=""),"",K52-L52-M52/'费率参数'!$B$2)</f>
        <v/>
      </c>
      <c r="O52" s="8">
        <f>IF(OR(K52="",K52=0),"",N52/K52)</f>
        <v/>
      </c>
      <c r="P52" s="3" t="n"/>
      <c r="Q52" s="3" t="n"/>
      <c r="R52" s="5" t="n"/>
      <c r="S52" s="6">
        <f>IF(OR(R52="",K52=""),"",R52-K52)</f>
        <v/>
      </c>
      <c r="T52" s="2">
        <f>IF(C52="","",IF(K52="","待填价",IF(O52&lt;'费率参数'!$B$9,"⚠️ 利润不足",IF(OR(K52&lt;'费率参数'!$B$11,K52&gt;'费率参数'!$B$12),"🔶 价格带不符",IF(N(Q52)&gt;'费率参数'!$B$10,"🔴 竞争激烈","✅ 推荐测款")))))</f>
        <v/>
      </c>
      <c r="U52" s="3" t="n"/>
      <c r="V52" s="4" t="n"/>
    </row>
    <row r="53">
      <c r="A53" s="2">
        <f>IF(C53="","",ROW()-1)</f>
        <v/>
      </c>
      <c r="B53" s="3" t="n"/>
      <c r="C53" s="4" t="n"/>
      <c r="D53" s="4" t="n"/>
      <c r="E53" s="5" t="n"/>
      <c r="F53" s="3" t="n"/>
      <c r="G53" s="5" t="n"/>
      <c r="H53" s="6">
        <f>IF(F53="","",CEILING(F53/10,1)*'费率参数'!$B$5)</f>
        <v/>
      </c>
      <c r="I53" s="7">
        <f>IF(F53="","",'费率参数'!$B$6)</f>
        <v/>
      </c>
      <c r="J53" s="6">
        <f>IF(F53="","",MAX(H53-I53*'费率参数'!$B$2,0))</f>
        <v/>
      </c>
      <c r="K53" s="5" t="n"/>
      <c r="L53" s="6">
        <f>IF(K53="","",K53*('费率参数'!$B$3+'费率参数'!$B$4))</f>
        <v/>
      </c>
      <c r="M53" s="6">
        <f>IF(E53="","",E53+N(G53)+J53)</f>
        <v/>
      </c>
      <c r="N53" s="6">
        <f>IF(OR(K53="",E53=""),"",K53-L53-M53/'费率参数'!$B$2)</f>
        <v/>
      </c>
      <c r="O53" s="8">
        <f>IF(OR(K53="",K53=0),"",N53/K53)</f>
        <v/>
      </c>
      <c r="P53" s="3" t="n"/>
      <c r="Q53" s="3" t="n"/>
      <c r="R53" s="5" t="n"/>
      <c r="S53" s="6">
        <f>IF(OR(R53="",K53=""),"",R53-K53)</f>
        <v/>
      </c>
      <c r="T53" s="2">
        <f>IF(C53="","",IF(K53="","待填价",IF(O53&lt;'费率参数'!$B$9,"⚠️ 利润不足",IF(OR(K53&lt;'费率参数'!$B$11,K53&gt;'费率参数'!$B$12),"🔶 价格带不符",IF(N(Q53)&gt;'费率参数'!$B$10,"🔴 竞争激烈","✅ 推荐测款")))))</f>
        <v/>
      </c>
      <c r="U53" s="3" t="n"/>
      <c r="V53" s="4" t="n"/>
    </row>
    <row r="54">
      <c r="A54" s="2">
        <f>IF(C54="","",ROW()-1)</f>
        <v/>
      </c>
      <c r="B54" s="3" t="n"/>
      <c r="C54" s="4" t="n"/>
      <c r="D54" s="4" t="n"/>
      <c r="E54" s="5" t="n"/>
      <c r="F54" s="3" t="n"/>
      <c r="G54" s="5" t="n"/>
      <c r="H54" s="6">
        <f>IF(F54="","",CEILING(F54/10,1)*'费率参数'!$B$5)</f>
        <v/>
      </c>
      <c r="I54" s="7">
        <f>IF(F54="","",'费率参数'!$B$6)</f>
        <v/>
      </c>
      <c r="J54" s="6">
        <f>IF(F54="","",MAX(H54-I54*'费率参数'!$B$2,0))</f>
        <v/>
      </c>
      <c r="K54" s="5" t="n"/>
      <c r="L54" s="6">
        <f>IF(K54="","",K54*('费率参数'!$B$3+'费率参数'!$B$4))</f>
        <v/>
      </c>
      <c r="M54" s="6">
        <f>IF(E54="","",E54+N(G54)+J54)</f>
        <v/>
      </c>
      <c r="N54" s="6">
        <f>IF(OR(K54="",E54=""),"",K54-L54-M54/'费率参数'!$B$2)</f>
        <v/>
      </c>
      <c r="O54" s="8">
        <f>IF(OR(K54="",K54=0),"",N54/K54)</f>
        <v/>
      </c>
      <c r="P54" s="3" t="n"/>
      <c r="Q54" s="3" t="n"/>
      <c r="R54" s="5" t="n"/>
      <c r="S54" s="6">
        <f>IF(OR(R54="",K54=""),"",R54-K54)</f>
        <v/>
      </c>
      <c r="T54" s="2">
        <f>IF(C54="","",IF(K54="","待填价",IF(O54&lt;'费率参数'!$B$9,"⚠️ 利润不足",IF(OR(K54&lt;'费率参数'!$B$11,K54&gt;'费率参数'!$B$12),"🔶 价格带不符",IF(N(Q54)&gt;'费率参数'!$B$10,"🔴 竞争激烈","✅ 推荐测款")))))</f>
        <v/>
      </c>
      <c r="U54" s="3" t="n"/>
      <c r="V54" s="4" t="n"/>
    </row>
    <row r="55">
      <c r="A55" s="2">
        <f>IF(C55="","",ROW()-1)</f>
        <v/>
      </c>
      <c r="B55" s="3" t="n"/>
      <c r="C55" s="4" t="n"/>
      <c r="D55" s="4" t="n"/>
      <c r="E55" s="5" t="n"/>
      <c r="F55" s="3" t="n"/>
      <c r="G55" s="5" t="n"/>
      <c r="H55" s="6">
        <f>IF(F55="","",CEILING(F55/10,1)*'费率参数'!$B$5)</f>
        <v/>
      </c>
      <c r="I55" s="7">
        <f>IF(F55="","",'费率参数'!$B$6)</f>
        <v/>
      </c>
      <c r="J55" s="6">
        <f>IF(F55="","",MAX(H55-I55*'费率参数'!$B$2,0))</f>
        <v/>
      </c>
      <c r="K55" s="5" t="n"/>
      <c r="L55" s="6">
        <f>IF(K55="","",K55*('费率参数'!$B$3+'费率参数'!$B$4))</f>
        <v/>
      </c>
      <c r="M55" s="6">
        <f>IF(E55="","",E55+N(G55)+J55)</f>
        <v/>
      </c>
      <c r="N55" s="6">
        <f>IF(OR(K55="",E55=""),"",K55-L55-M55/'费率参数'!$B$2)</f>
        <v/>
      </c>
      <c r="O55" s="8">
        <f>IF(OR(K55="",K55=0),"",N55/K55)</f>
        <v/>
      </c>
      <c r="P55" s="3" t="n"/>
      <c r="Q55" s="3" t="n"/>
      <c r="R55" s="5" t="n"/>
      <c r="S55" s="6">
        <f>IF(OR(R55="",K55=""),"",R55-K55)</f>
        <v/>
      </c>
      <c r="T55" s="2">
        <f>IF(C55="","",IF(K55="","待填价",IF(O55&lt;'费率参数'!$B$9,"⚠️ 利润不足",IF(OR(K55&lt;'费率参数'!$B$11,K55&gt;'费率参数'!$B$12),"🔶 价格带不符",IF(N(Q55)&gt;'费率参数'!$B$10,"🔴 竞争激烈","✅ 推荐测款")))))</f>
        <v/>
      </c>
      <c r="U55" s="3" t="n"/>
      <c r="V55" s="4" t="n"/>
    </row>
    <row r="56">
      <c r="A56" s="2">
        <f>IF(C56="","",ROW()-1)</f>
        <v/>
      </c>
      <c r="B56" s="3" t="n"/>
      <c r="C56" s="4" t="n"/>
      <c r="D56" s="4" t="n"/>
      <c r="E56" s="5" t="n"/>
      <c r="F56" s="3" t="n"/>
      <c r="G56" s="5" t="n"/>
      <c r="H56" s="6">
        <f>IF(F56="","",CEILING(F56/10,1)*'费率参数'!$B$5)</f>
        <v/>
      </c>
      <c r="I56" s="7">
        <f>IF(F56="","",'费率参数'!$B$6)</f>
        <v/>
      </c>
      <c r="J56" s="6">
        <f>IF(F56="","",MAX(H56-I56*'费率参数'!$B$2,0))</f>
        <v/>
      </c>
      <c r="K56" s="5" t="n"/>
      <c r="L56" s="6">
        <f>IF(K56="","",K56*('费率参数'!$B$3+'费率参数'!$B$4))</f>
        <v/>
      </c>
      <c r="M56" s="6">
        <f>IF(E56="","",E56+N(G56)+J56)</f>
        <v/>
      </c>
      <c r="N56" s="6">
        <f>IF(OR(K56="",E56=""),"",K56-L56-M56/'费率参数'!$B$2)</f>
        <v/>
      </c>
      <c r="O56" s="8">
        <f>IF(OR(K56="",K56=0),"",N56/K56)</f>
        <v/>
      </c>
      <c r="P56" s="3" t="n"/>
      <c r="Q56" s="3" t="n"/>
      <c r="R56" s="5" t="n"/>
      <c r="S56" s="6">
        <f>IF(OR(R56="",K56=""),"",R56-K56)</f>
        <v/>
      </c>
      <c r="T56" s="2">
        <f>IF(C56="","",IF(K56="","待填价",IF(O56&lt;'费率参数'!$B$9,"⚠️ 利润不足",IF(OR(K56&lt;'费率参数'!$B$11,K56&gt;'费率参数'!$B$12),"🔶 价格带不符",IF(N(Q56)&gt;'费率参数'!$B$10,"🔴 竞争激烈","✅ 推荐测款")))))</f>
        <v/>
      </c>
      <c r="U56" s="3" t="n"/>
      <c r="V56" s="4" t="n"/>
    </row>
    <row r="57">
      <c r="A57" s="2">
        <f>IF(C57="","",ROW()-1)</f>
        <v/>
      </c>
      <c r="B57" s="3" t="n"/>
      <c r="C57" s="4" t="n"/>
      <c r="D57" s="4" t="n"/>
      <c r="E57" s="5" t="n"/>
      <c r="F57" s="3" t="n"/>
      <c r="G57" s="5" t="n"/>
      <c r="H57" s="6">
        <f>IF(F57="","",CEILING(F57/10,1)*'费率参数'!$B$5)</f>
        <v/>
      </c>
      <c r="I57" s="7">
        <f>IF(F57="","",'费率参数'!$B$6)</f>
        <v/>
      </c>
      <c r="J57" s="6">
        <f>IF(F57="","",MAX(H57-I57*'费率参数'!$B$2,0))</f>
        <v/>
      </c>
      <c r="K57" s="5" t="n"/>
      <c r="L57" s="6">
        <f>IF(K57="","",K57*('费率参数'!$B$3+'费率参数'!$B$4))</f>
        <v/>
      </c>
      <c r="M57" s="6">
        <f>IF(E57="","",E57+N(G57)+J57)</f>
        <v/>
      </c>
      <c r="N57" s="6">
        <f>IF(OR(K57="",E57=""),"",K57-L57-M57/'费率参数'!$B$2)</f>
        <v/>
      </c>
      <c r="O57" s="8">
        <f>IF(OR(K57="",K57=0),"",N57/K57)</f>
        <v/>
      </c>
      <c r="P57" s="3" t="n"/>
      <c r="Q57" s="3" t="n"/>
      <c r="R57" s="5" t="n"/>
      <c r="S57" s="6">
        <f>IF(OR(R57="",K57=""),"",R57-K57)</f>
        <v/>
      </c>
      <c r="T57" s="2">
        <f>IF(C57="","",IF(K57="","待填价",IF(O57&lt;'费率参数'!$B$9,"⚠️ 利润不足",IF(OR(K57&lt;'费率参数'!$B$11,K57&gt;'费率参数'!$B$12),"🔶 价格带不符",IF(N(Q57)&gt;'费率参数'!$B$10,"🔴 竞争激烈","✅ 推荐测款")))))</f>
        <v/>
      </c>
      <c r="U57" s="3" t="n"/>
      <c r="V57" s="4" t="n"/>
    </row>
    <row r="58">
      <c r="A58" s="2">
        <f>IF(C58="","",ROW()-1)</f>
        <v/>
      </c>
      <c r="B58" s="3" t="n"/>
      <c r="C58" s="4" t="n"/>
      <c r="D58" s="4" t="n"/>
      <c r="E58" s="5" t="n"/>
      <c r="F58" s="3" t="n"/>
      <c r="G58" s="5" t="n"/>
      <c r="H58" s="6">
        <f>IF(F58="","",CEILING(F58/10,1)*'费率参数'!$B$5)</f>
        <v/>
      </c>
      <c r="I58" s="7">
        <f>IF(F58="","",'费率参数'!$B$6)</f>
        <v/>
      </c>
      <c r="J58" s="6">
        <f>IF(F58="","",MAX(H58-I58*'费率参数'!$B$2,0))</f>
        <v/>
      </c>
      <c r="K58" s="5" t="n"/>
      <c r="L58" s="6">
        <f>IF(K58="","",K58*('费率参数'!$B$3+'费率参数'!$B$4))</f>
        <v/>
      </c>
      <c r="M58" s="6">
        <f>IF(E58="","",E58+N(G58)+J58)</f>
        <v/>
      </c>
      <c r="N58" s="6">
        <f>IF(OR(K58="",E58=""),"",K58-L58-M58/'费率参数'!$B$2)</f>
        <v/>
      </c>
      <c r="O58" s="8">
        <f>IF(OR(K58="",K58=0),"",N58/K58)</f>
        <v/>
      </c>
      <c r="P58" s="3" t="n"/>
      <c r="Q58" s="3" t="n"/>
      <c r="R58" s="5" t="n"/>
      <c r="S58" s="6">
        <f>IF(OR(R58="",K58=""),"",R58-K58)</f>
        <v/>
      </c>
      <c r="T58" s="2">
        <f>IF(C58="","",IF(K58="","待填价",IF(O58&lt;'费率参数'!$B$9,"⚠️ 利润不足",IF(OR(K58&lt;'费率参数'!$B$11,K58&gt;'费率参数'!$B$12),"🔶 价格带不符",IF(N(Q58)&gt;'费率参数'!$B$10,"🔴 竞争激烈","✅ 推荐测款")))))</f>
        <v/>
      </c>
      <c r="U58" s="3" t="n"/>
      <c r="V58" s="4" t="n"/>
    </row>
    <row r="59">
      <c r="A59" s="2">
        <f>IF(C59="","",ROW()-1)</f>
        <v/>
      </c>
      <c r="B59" s="3" t="n"/>
      <c r="C59" s="4" t="n"/>
      <c r="D59" s="4" t="n"/>
      <c r="E59" s="5" t="n"/>
      <c r="F59" s="3" t="n"/>
      <c r="G59" s="5" t="n"/>
      <c r="H59" s="6">
        <f>IF(F59="","",CEILING(F59/10,1)*'费率参数'!$B$5)</f>
        <v/>
      </c>
      <c r="I59" s="7">
        <f>IF(F59="","",'费率参数'!$B$6)</f>
        <v/>
      </c>
      <c r="J59" s="6">
        <f>IF(F59="","",MAX(H59-I59*'费率参数'!$B$2,0))</f>
        <v/>
      </c>
      <c r="K59" s="5" t="n"/>
      <c r="L59" s="6">
        <f>IF(K59="","",K59*('费率参数'!$B$3+'费率参数'!$B$4))</f>
        <v/>
      </c>
      <c r="M59" s="6">
        <f>IF(E59="","",E59+N(G59)+J59)</f>
        <v/>
      </c>
      <c r="N59" s="6">
        <f>IF(OR(K59="",E59=""),"",K59-L59-M59/'费率参数'!$B$2)</f>
        <v/>
      </c>
      <c r="O59" s="8">
        <f>IF(OR(K59="",K59=0),"",N59/K59)</f>
        <v/>
      </c>
      <c r="P59" s="3" t="n"/>
      <c r="Q59" s="3" t="n"/>
      <c r="R59" s="5" t="n"/>
      <c r="S59" s="6">
        <f>IF(OR(R59="",K59=""),"",R59-K59)</f>
        <v/>
      </c>
      <c r="T59" s="2">
        <f>IF(C59="","",IF(K59="","待填价",IF(O59&lt;'费率参数'!$B$9,"⚠️ 利润不足",IF(OR(K59&lt;'费率参数'!$B$11,K59&gt;'费率参数'!$B$12),"🔶 价格带不符",IF(N(Q59)&gt;'费率参数'!$B$10,"🔴 竞争激烈","✅ 推荐测款")))))</f>
        <v/>
      </c>
      <c r="U59" s="3" t="n"/>
      <c r="V59" s="4" t="n"/>
    </row>
    <row r="60">
      <c r="A60" s="2">
        <f>IF(C60="","",ROW()-1)</f>
        <v/>
      </c>
      <c r="B60" s="3" t="n"/>
      <c r="C60" s="4" t="n"/>
      <c r="D60" s="4" t="n"/>
      <c r="E60" s="5" t="n"/>
      <c r="F60" s="3" t="n"/>
      <c r="G60" s="5" t="n"/>
      <c r="H60" s="6">
        <f>IF(F60="","",CEILING(F60/10,1)*'费率参数'!$B$5)</f>
        <v/>
      </c>
      <c r="I60" s="7">
        <f>IF(F60="","",'费率参数'!$B$6)</f>
        <v/>
      </c>
      <c r="J60" s="6">
        <f>IF(F60="","",MAX(H60-I60*'费率参数'!$B$2,0))</f>
        <v/>
      </c>
      <c r="K60" s="5" t="n"/>
      <c r="L60" s="6">
        <f>IF(K60="","",K60*('费率参数'!$B$3+'费率参数'!$B$4))</f>
        <v/>
      </c>
      <c r="M60" s="6">
        <f>IF(E60="","",E60+N(G60)+J60)</f>
        <v/>
      </c>
      <c r="N60" s="6">
        <f>IF(OR(K60="",E60=""),"",K60-L60-M60/'费率参数'!$B$2)</f>
        <v/>
      </c>
      <c r="O60" s="8">
        <f>IF(OR(K60="",K60=0),"",N60/K60)</f>
        <v/>
      </c>
      <c r="P60" s="3" t="n"/>
      <c r="Q60" s="3" t="n"/>
      <c r="R60" s="5" t="n"/>
      <c r="S60" s="6">
        <f>IF(OR(R60="",K60=""),"",R60-K60)</f>
        <v/>
      </c>
      <c r="T60" s="2">
        <f>IF(C60="","",IF(K60="","待填价",IF(O60&lt;'费率参数'!$B$9,"⚠️ 利润不足",IF(OR(K60&lt;'费率参数'!$B$11,K60&gt;'费率参数'!$B$12),"🔶 价格带不符",IF(N(Q60)&gt;'费率参数'!$B$10,"🔴 竞争激烈","✅ 推荐测款")))))</f>
        <v/>
      </c>
      <c r="U60" s="3" t="n"/>
      <c r="V60" s="4" t="n"/>
    </row>
  </sheetData>
  <conditionalFormatting sqref="O2:O60">
    <cfRule type="cellIs" priority="1" operator="greaterThanOrEqual" dxfId="0">
      <formula>0.3</formula>
    </cfRule>
    <cfRule type="cellIs" priority="2" operator="lessThan" dxfId="1">
      <formula>0.15</formula>
    </cfRule>
  </conditionalFormatting>
  <conditionalFormatting sqref="T2:T60">
    <cfRule type="expression" priority="3" dxfId="0">
      <formula>ISNUMBER(SEARCH("推荐",T2))</formula>
    </cfRule>
    <cfRule type="expression" priority="4" dxfId="2">
      <formula>ISNUMBER(SEARCH("利润不足",T2))</formula>
    </cfRule>
    <cfRule type="expression" priority="5" dxfId="3">
      <formula>ISNUMBER(SEARCH("竞争激烈",T2))</formula>
    </cfRule>
  </conditionalFormatting>
  <dataValidations count="2">
    <dataValidation sqref="B2:B60" showDropDown="0" showInputMessage="0" showErrorMessage="0" allowBlank="1" type="list">
      <formula1>"穆斯林服饰,女性配饰,家居收纳,家居厨房,3C配件,美妆工具,母婴小件,节日季节性,文具,汽车/摩托小件,宠物用品,其他"</formula1>
    </dataValidation>
    <dataValidation sqref="U2:U60" showDropDown="0" showInputMessage="0" showErrorMessage="0" allowBlank="1" type="list">
      <formula1>"待测评,测款中,加单补货,淘汰"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</cols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说明（请按 Shopee 卖家学习中心最新规则修改）</t>
        </is>
      </c>
    </row>
    <row r="2">
      <c r="A2" s="3" t="inlineStr">
        <is>
          <t>汇率（1 RM = ? RMB）</t>
        </is>
      </c>
      <c r="B2" s="9" t="n">
        <v>1.65</v>
      </c>
      <c r="C2" s="4" t="inlineStr">
        <is>
          <t>2025 年大致区间 1.60–1.72，下单结汇时以实时汇率为准</t>
        </is>
      </c>
    </row>
    <row r="3">
      <c r="A3" s="3" t="inlineStr">
        <is>
          <t>佣金率</t>
        </is>
      </c>
      <c r="B3" s="10" t="n">
        <v>0.04</v>
      </c>
      <c r="C3" s="4" t="inlineStr">
        <is>
          <t>普通跨境卖家通常约 4%；新店免佣期可改为 0；商城/不同类目有差异</t>
        </is>
      </c>
    </row>
    <row r="4">
      <c r="A4" s="3" t="inlineStr">
        <is>
          <t>交易手续费率</t>
        </is>
      </c>
      <c r="B4" s="10" t="n">
        <v>0.0212</v>
      </c>
      <c r="C4" s="4" t="inlineStr">
        <is>
          <t>约 2%（含 SST 后约 2.12%），以后台账单实际比例为准</t>
        </is>
      </c>
    </row>
    <row r="5">
      <c r="A5" s="3" t="inlineStr">
        <is>
          <t>SLS 运费（每 10g，RMB）</t>
        </is>
      </c>
      <c r="B5" s="9" t="n">
        <v>0.25</v>
      </c>
      <c r="C5" s="4" t="inlineStr">
        <is>
          <t>简化估算值！实际按 SLS 马来价卡分区/分段计费，务必以后台价卡为准</t>
        </is>
      </c>
    </row>
    <row r="6">
      <c r="A6" s="3" t="inlineStr">
        <is>
          <t>买家承担运费（RM）</t>
        </is>
      </c>
      <c r="B6" s="9" t="n">
        <v>6</v>
      </c>
      <c r="C6" s="4" t="inlineStr">
        <is>
          <t>即藏价/买家付运费部分，实际取决于重量段与包邮活动，可逐单在 I 列覆盖</t>
        </is>
      </c>
    </row>
    <row r="7">
      <c r="A7" s="3" t="inlineStr">
        <is>
          <t>国内杂费+头程/单（RMB）</t>
        </is>
      </c>
      <c r="B7" s="9" t="n">
        <v>1</v>
      </c>
      <c r="C7" s="4" t="inlineStr">
        <is>
          <t>取货、打包、贴面单、送仓等分摊，已在 G 列逐行填写时此行仅作参考</t>
        </is>
      </c>
    </row>
    <row r="8">
      <c r="A8" s="3" t="inlineStr">
        <is>
          <t>目标毛利率门槛</t>
        </is>
      </c>
      <c r="B8" s="9" t="n">
        <v>0.3</v>
      </c>
      <c r="C8" s="4" t="inlineStr">
        <is>
          <t>低于此值标红/提示利润不足</t>
        </is>
      </c>
    </row>
    <row r="9">
      <c r="A9" s="3" t="inlineStr">
        <is>
          <t>竞品评价数门槛</t>
        </is>
      </c>
      <c r="B9" s="11" t="n">
        <v>500</v>
      </c>
      <c r="C9" s="4" t="inlineStr">
        <is>
          <t>前排商品评价数低于此值说明头部未垄断，更适合切入</t>
        </is>
      </c>
    </row>
    <row r="10">
      <c r="A10" s="3" t="inlineStr">
        <is>
          <t>建议售价下限（RM）</t>
        </is>
      </c>
      <c r="B10" s="9" t="n">
        <v>9</v>
      </c>
      <c r="C10" s="4" t="inlineStr">
        <is>
          <t>低于此价扣完运费佣金后利润太薄，除非纯引流款</t>
        </is>
      </c>
    </row>
    <row r="11">
      <c r="A11" s="3" t="inlineStr">
        <is>
          <t>建议售价上限（RM）</t>
        </is>
      </c>
      <c r="B11" s="9" t="n">
        <v>60</v>
      </c>
      <c r="C11" s="4" t="inlineStr">
        <is>
          <t>新手无评价，高于此价转化困难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Shopee 马来西亚站 · 新手选品测算表 — 使用说明</t>
        </is>
      </c>
    </row>
    <row r="2">
      <c r="A2" s="13" t="inlineStr"/>
    </row>
    <row r="3">
      <c r="A3" s="13" t="inlineStr">
        <is>
          <t>1. 你只需填白色列：B品类、C商品名、D链接、E拿货价、F重量(g)、G国内杂费、I买家承担运费（默认自动带出）、</t>
        </is>
      </c>
    </row>
    <row r="4">
      <c r="A4" s="13" t="inlineStr">
        <is>
          <t xml:space="preserve">   K售价(RM)、P月搜索量、Q TOP20平均评价数、R TOP20均价、U状态、V备注。灰色列为自动计算，勿手动改。</t>
        </is>
      </c>
    </row>
    <row r="5">
      <c r="A5" s="13" t="inlineStr">
        <is>
          <t>2. 所有费率集中在【费率参数】表：汇率、佣金率、交易手续费率、SLS 每 10g 运费、买家承担运费等，</t>
        </is>
      </c>
    </row>
    <row r="6">
      <c r="A6" s="13" t="inlineStr">
        <is>
          <t xml:space="preserve">   规则变动时只改参数表，全表自动重算。SLS 运费为简化估算，正式定价务必对照卖家后台最新价卡。</t>
        </is>
      </c>
    </row>
    <row r="7">
      <c r="A7" s="13" t="inlineStr">
        <is>
          <t>3. 核心公式：</t>
        </is>
      </c>
    </row>
    <row r="8">
      <c r="A8" s="13" t="inlineStr">
        <is>
          <t xml:space="preserve">   预估总运费 = CEILING(重量/10g) × 每10g费率</t>
        </is>
      </c>
    </row>
    <row r="9">
      <c r="A9" s="13" t="inlineStr">
        <is>
          <t xml:space="preserve">   卖家承担运费 = MAX(总运费 − 买家承担运费×汇率, 0)（即“藏价”成本）</t>
        </is>
      </c>
    </row>
    <row r="10">
      <c r="A10" s="13" t="inlineStr">
        <is>
          <t xml:space="preserve">   总成本(RMB) = 拿货价 + 国内杂费/头程 + 卖家承担运费</t>
        </is>
      </c>
    </row>
    <row r="11">
      <c r="A11" s="13" t="inlineStr">
        <is>
          <t xml:space="preserve">   毛利(RM) = 售价 − 售价×(佣金率+手续费率) − 总成本÷汇率</t>
        </is>
      </c>
    </row>
    <row r="12">
      <c r="A12" s="13" t="inlineStr">
        <is>
          <t>4. 测款建议判定逻辑：毛利率&lt;30% → 利润不足；售价不在 RM9–60 → 价格带不符；</t>
        </is>
      </c>
    </row>
    <row r="13">
      <c r="A13" s="13" t="inlineStr">
        <is>
          <t xml:space="preserve">   TOP20 平均评价数&gt;500 → 竞争激烈；全部通过 → ✅ 推荐测款。门槛均可在参数表调整。</t>
        </is>
      </c>
    </row>
    <row r="14">
      <c r="A14" s="13" t="inlineStr">
        <is>
          <t>5. 数据从哪来：P/Q/R 三列去 Shopee 马来前台搜关键词（tudung / sejadah / storage box 等），</t>
        </is>
      </c>
    </row>
    <row r="15">
      <c r="A15" s="13" t="inlineStr">
        <is>
          <t xml:space="preserve">   按销量排序看前 20 个商品；搜索量看卖家后台 Market Insight / 搜索框下拉，或知虾、ShopeeSpy。</t>
        </is>
      </c>
    </row>
    <row r="16">
      <c r="A16" s="13" t="inlineStr">
        <is>
          <t>6. 建议用法：首批铺 30–50 个 SKU、每款备货 5–10 件，借新品流量期+免运券测 1–2 周；</t>
        </is>
      </c>
    </row>
    <row r="17">
      <c r="A17" s="13" t="inlineStr">
        <is>
          <t xml:space="preserve">   状态列标记“测款中”，有自然出单且毛利率达标 → “加单补货”，否则“淘汰”，预算集中到 3–5 个潜力款。</t>
        </is>
      </c>
    </row>
    <row r="18">
      <c r="A18" s="13" t="inlineStr">
        <is>
          <t>7. 红线提醒：不碰侵权 IP/大牌同款、食品保健品、化妆品成品（马来需 NPRA 通报）、</t>
        </is>
      </c>
    </row>
    <row r="19">
      <c r="A19" s="13" t="inlineStr">
        <is>
          <t xml:space="preserve">   纯电池/充电宝/强磁/液体粉末（SLS 限运）、玻璃陶瓷大件、标准码鞋服（退货高）。</t>
        </is>
      </c>
    </row>
    <row r="20">
      <c r="A20" s="13" t="inlineStr">
        <is>
          <t>8. 节点提醒：斋月前 6–8 周开始上穆斯林节日款（tudung/telekung/家居装饰）；</t>
        </is>
      </c>
    </row>
    <row r="21">
      <c r="A21" s="13" t="inlineStr">
        <is>
          <t xml:space="preserve">   9.9/10.10/11.11/12.12 提前 2–3 周备货；年底雨季备雨伞雨衣防水鞋套。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2026-09-19T09:23:41Z</dcterms:created>
  <dcterms:modified xmlns:dcterms="http://purl.org/dc/terms/" xmlns:xsi="http://www.w3.org/2001/XMLSchema-instance" xsi:type="dcterms:W3CDTF">2026-09-19T09:23:41Z</dcterms:modified>
</cp:coreProperties>
</file>